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35288371-459C-4B33-9D2C-D9D7B603CB9E}" xr6:coauthVersionLast="47" xr6:coauthVersionMax="47" xr10:uidLastSave="{00000000-0000-0000-0000-000000000000}"/>
  <bookViews>
    <workbookView xWindow="-108" yWindow="-108" windowWidth="23256" windowHeight="12456" xr2:uid="{73778F9F-336E-4954-9FB3-41F32BA275EB}"/>
  </bookViews>
  <sheets>
    <sheet name="Bramer, Michae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4A8C1F54-EE5D-4D07-AB8E-0CA023A9C6F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6C5B6481-010F-47B7-A8F2-495B98950601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122ECCCA-3DEA-4848-B668-1A711EF990DA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09D5D923-396D-4F9B-9DA0-77425585249E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<sst xmlns="http://schemas.openxmlformats.org/spreadsheetml/2006/main" count="63" uniqueCount="53">
  <si>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</si>
  <si>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</si>
  <si>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</si>
  <si>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</si>
  <si>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</si>
  <si>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</si>
  <si>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</si>
  <si>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</si>
  <si>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</si>
  <si>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</si>
  <si>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</si>
  <si>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</si>
  <si>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</si>
  <si>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</si>
  <si>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</si>
  <si>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</si>
  <si>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</si>
  <si>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</si>
  <si>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</si>
  <si>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</si>
  <si>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</si>
  <si>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</si>
  <si>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</si>
  <si>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</si>
  <si>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</si>
  <si>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</si>
  <si>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Nathan G. Reuter, DMD, MS, PSC</t>
  </si>
  <si>
    <t>209 Breckenridge Lane</t>
  </si>
  <si>
    <t>Louisville</t>
  </si>
  <si>
    <t>Kentucky</t>
  </si>
  <si>
    <t>1120S</t>
  </si>
  <si>
    <t>Kentucky and Louisville</t>
  </si>
  <si>
    <t>Dr. Nathan Reuter</t>
  </si>
  <si>
    <t>nate@reuterorthodontics.com</t>
  </si>
  <si>
    <t>None</t>
  </si>
  <si>
    <t>X</t>
  </si>
  <si>
    <t>REUTER ORTHODONTICS</t>
  </si>
  <si>
    <t>Sent to Sarah W.</t>
  </si>
  <si>
    <t>Better Mental Health KY, LLC</t>
  </si>
  <si>
    <t>1229 Colorado Road</t>
  </si>
  <si>
    <t>Lexington</t>
  </si>
  <si>
    <t>Kentucky and Lexington</t>
  </si>
  <si>
    <t>swittenbraker@hsccpa.com</t>
  </si>
  <si>
    <t>BETTER MENTAL HEALTH</t>
  </si>
  <si>
    <t>Galen McIntosh</t>
  </si>
  <si>
    <t>galen.mcintosh@bettermentalhealthky.com</t>
  </si>
  <si>
    <t>NAWAB</t>
  </si>
  <si>
    <t>KNNC, LLC</t>
  </si>
  <si>
    <t>8709 Summit Ridge Drive</t>
  </si>
  <si>
    <t>Colleen Nawab</t>
  </si>
  <si>
    <t>colleennawab@gmail.com</t>
  </si>
  <si>
    <t>Tribbett, David</t>
  </si>
  <si>
    <t>Tribett, David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</si>
</sst>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9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8"/>
      <color theme="1"/>
      <name val="Tahoma"/>
      <family val="2"/>
    </font>
    <font>
      <sz val="10"/>
      <color indexed="8"/>
      <name val="Arial"/>
      <family val="2"/>
    </font>
    <font>
      <sz val="8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8" tint="-0.249977111117893"/>
        <bgColor theme="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7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3" borderId="3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left" wrapText="1"/>
    </xf>
    <xf numFmtId="0" fontId="2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left" wrapText="1"/>
    </xf>
    <xf numFmtId="0" fontId="1" fillId="2" borderId="0" xfId="0" applyFont="1" applyFill="1"/>
    <xf numFmtId="0" fontId="1" fillId="2" borderId="4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left" wrapText="1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 wrapText="1"/>
    </xf>
    <xf numFmtId="42" fontId="8" fillId="0" borderId="1" xfId="0" applyNumberFormat="1" applyFont="1" applyBorder="1" applyAlignment="1">
      <alignment horizontal="left" wrapText="1"/>
    </xf>
    <xf numFmtId="0" fontId="8" fillId="0" borderId="1" xfId="1" applyFont="1" applyFill="1" applyBorder="1" applyAlignment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wrapText="1"/>
    </xf>
    <xf numFmtId="0" fontId="8" fillId="0" borderId="2" xfId="0" applyFont="1" applyBorder="1"/>
    <xf numFmtId="0" fontId="8" fillId="0" borderId="2" xfId="0" applyFont="1" applyBorder="1" applyAlignment="1">
      <alignment horizontal="left"/>
    </xf>
    <xf numFmtId="0" fontId="8" fillId="0" borderId="2" xfId="1" applyFont="1" applyBorder="1"/>
    <xf numFmtId="0" fontId="8" fillId="0" borderId="1" xfId="0" applyFont="1" applyBorder="1"/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/>
    <xf numFmtId="0" fontId="6" fillId="4" borderId="1" xfId="1" applyFont="1" applyFill="1" applyBorder="1"/>
  </cellXfs>
  <cellStyles count="3">
    <cellStyle name="Hyperlink" xfId="1" builtinId="8"/>
    <cellStyle name="Normal" xfId="0" builtinId="0"/>
    <cellStyle name="Normal 2" xfId="2" xr:uid="{6C07CA99-B763-498A-B84A-D15ECEE69D46}"/>
  </cellStyles>
  <dxfs count="28"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</dxf>
  </dxfs>
  <tableStyles count="0" defaultTableStyle="TableStyleMedium2" defaultPivotStyle="PivotStyleLight16"/>
  <colors>
    <mruColors>
      <color rgb="FF33CC33"/>
      <color rgb="FF009900"/>
      <color rgb="FF339933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677C00-44A0-46FE-BE3D-8CF0AE9D1800}" name="Table1" displayName="Table1" ref="A1:Z3" totalsRowShown="0" dataDxfId="27" tableBorderDxfId="26">
  <autoFilter ref="A1:Z3" xr:uid="{FA677C00-44A0-46FE-BE3D-8CF0AE9D1800}"/>
  <tableColumns count="26">
    <tableColumn id="1" xr3:uid="{6F8A0235-B0F1-4DD2-AA57-D82E47040B3C}" name="Client #" dataDxfId="25"/>
    <tableColumn id="2" xr3:uid="{C378E0B9-2F1C-4D6F-8FE6-28B9B3D3D0F1}" name="Client Group" dataDxfId="24"/>
    <tableColumn id="3" xr3:uid="{D7061921-9CFB-45B6-91A4-8FCE11D198CC}" name="Client Name" dataDxfId="23"/>
    <tableColumn id="4" xr3:uid="{B094BD08-6080-4439-8747-8AED0CC661FE}" name="Address" dataDxfId="22"/>
    <tableColumn id="5" xr3:uid="{C0653B12-F882-48F1-9540-F931D5A2BFC2}" name="City" dataDxfId="21"/>
    <tableColumn id="6" xr3:uid="{9EFFF322-DA34-486F-9368-4DE67A44849D}" name="State" dataDxfId="20"/>
    <tableColumn id="7" xr3:uid="{AB0B2A8E-5E7F-4795-B66A-FDFE23D0BBE7}" name="ZipCode" dataDxfId="19"/>
    <tableColumn id="8" xr3:uid="{B0F1E8BE-B11F-4950-81E1-E1978CF612F7}" name="Year End" dataDxfId="18"/>
    <tableColumn id="9" xr3:uid="{6E3D95C3-517D-4A3C-85F2-C0243B863907}" name="Eng Ltr Fees if Inlcluded" dataDxfId="17"/>
    <tableColumn id="10" xr3:uid="{A3138F77-531F-40B8-A565-DE0BDFE7FBBE}" name="Tax Eng Ltr Type" dataDxfId="16"/>
    <tableColumn id="11" xr3:uid="{E45BAA2A-53BD-4868-878F-323184128130}" name="States/Localities" dataDxfId="15"/>
    <tableColumn id="12" xr3:uid="{F1D8E5DF-31EF-4FD0-B173-A8F96A871E0E}" name="Changes in States/Localities" dataDxfId="14"/>
    <tableColumn id="13" xr3:uid="{5007B34C-5873-4860-A874-0182D09D986D}" name="AA Eng Ltr Type" dataDxfId="13"/>
    <tableColumn id="14" xr3:uid="{27136EAA-038E-4BB9-8C5E-AF5F30C43E09}" name="AA Financial Framework (FF)" dataDxfId="12"/>
    <tableColumn id="15" xr3:uid="{AB5F49AE-8BA6-4D3A-80ED-4DAD74681A1D}" name="AA Departure from FF?" dataDxfId="11"/>
    <tableColumn id="16" xr3:uid="{49A817F1-7752-413D-8475-500F0F765921}" name="AA Not Independent?" dataDxfId="10"/>
    <tableColumn id="17" xr3:uid="{A3F3E998-8FC1-4275-94F6-443A2A4B8E12}" name="Eng Ltr Contact" dataDxfId="9"/>
    <tableColumn id="18" xr3:uid="{58E3536A-04A1-4736-9658-B1B51812D42A}" name="Eng Ltr Contact Email" dataDxfId="8"/>
    <tableColumn id="19" xr3:uid="{F1C96B0A-EF4C-4AA7-8593-F72565F298ED}" name="OS Client" dataDxfId="7"/>
    <tableColumn id="20" xr3:uid="{798AEBDA-FCA3-4256-910F-CD15C91A2B47}" name="CAL Contact" dataDxfId="6"/>
    <tableColumn id="21" xr3:uid="{638F4115-D73E-41E5-ADDC-995DDA566E67}" name="CAL Contact Email" dataDxfId="5"/>
    <tableColumn id="22" xr3:uid="{EBD2CB84-F6FE-4A62-998D-7F3DD2C94257}" name="CAL Contact 2" dataDxfId="4"/>
    <tableColumn id="23" xr3:uid="{262EB4B4-5AD2-4C85-AF23-C927623CADEB}" name="CAL Contact Email 2" dataDxfId="3"/>
    <tableColumn id="24" xr3:uid="{F1B01839-2E71-4CFF-AE1A-F2E6884DA126}" name="Depreciation Schedule Sent w/ CAL?" dataDxfId="2"/>
    <tableColumn id="25" xr3:uid="{E40834ED-A046-4835-AEBF-574BA1D79624}" name="Other Comments, Changes, etc." dataDxfId="1"/>
    <tableColumn id="26" xr3:uid="{EE4274B3-68AA-47CA-B780-0310EE85CD33}" name="Primary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galen.mcintosh@bettermentalhealthky.com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swittenbraker@hsccpa.com" TargetMode="External"/><Relationship Id="rId1" Type="http://schemas.openxmlformats.org/officeDocument/2006/relationships/hyperlink" Target="mailto:nate@reuterorthodontics.com" TargetMode="External"/><Relationship Id="rId6" Type="http://schemas.openxmlformats.org/officeDocument/2006/relationships/hyperlink" Target="mailto:colleennawab@gmail.com" TargetMode="External"/><Relationship Id="rId5" Type="http://schemas.openxmlformats.org/officeDocument/2006/relationships/hyperlink" Target="mailto:colleennawab@gmail.com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galen.mcintosh@bettermentalhealthky.com" TargetMode="Externa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B221A-BF13-4E7D-B3E0-015209E75CE2}">
  <sheetPr codeName="Sheet1"/>
  <dimension ref="A1:Z4"/>
  <sheetViews>
    <sheetView tabSelected="1" workbookViewId="0">
      <selection activeCell="G8" sqref="G8"/>
    </sheetView>
  </sheetViews>
  <sheetFormatPr defaultColWidth="21.33203125" defaultRowHeight="14.4" x14ac:dyDescent="0.3"/>
  <cols>
    <col min="1" max="1" width="9.44140625" customWidth="1"/>
    <col min="2" max="2" width="14.6640625" bestFit="1" customWidth="1"/>
    <col min="3" max="3" width="24.44140625" bestFit="1" customWidth="1"/>
    <col min="4" max="4" width="16.6640625" bestFit="1" customWidth="1"/>
    <col min="5" max="5" width="7.6640625" bestFit="1" customWidth="1"/>
    <col min="6" max="6" width="7.44140625" customWidth="1"/>
    <col min="7" max="7" width="10" customWidth="1"/>
    <col min="8" max="8" width="6.33203125" style="1" customWidth="1"/>
    <col min="9" max="9" width="15.6640625" customWidth="1"/>
    <col min="10" max="10" width="9.44140625" customWidth="1"/>
    <col min="11" max="11" width="17.33203125" customWidth="1"/>
    <col min="12" max="12" width="19.44140625" customWidth="1"/>
    <col min="13" max="13" width="14" customWidth="1"/>
    <col min="14" max="14" width="21.88671875" customWidth="1"/>
    <col min="15" max="15" width="16.33203125" customWidth="1"/>
    <col min="16" max="16" width="21.44140625" customWidth="1"/>
    <col min="17" max="17" width="16.33203125" customWidth="1"/>
    <col min="18" max="18" width="31.5546875" bestFit="1" customWidth="1"/>
    <col min="19" max="19" width="11.88671875" bestFit="1" customWidth="1"/>
    <col min="20" max="20" width="14.44140625" bestFit="1" customWidth="1"/>
    <col min="21" max="21" width="31.44140625" bestFit="1" customWidth="1"/>
    <col min="22" max="22" width="16.109375" bestFit="1" customWidth="1"/>
    <col min="23" max="23" width="22" bestFit="1" customWidth="1"/>
    <col min="24" max="24" width="21.44140625" customWidth="1"/>
    <col min="25" max="25" width="30.88671875" customWidth="1"/>
    <col min="26" max="26" width="11.88671875" bestFit="1" customWidth="1"/>
  </cols>
  <sheetData>
    <row r="1" spans="1:26" ht="39.75" customHeight="1" x14ac:dyDescent="0.3">
      <c r="A1" s="2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6" t="s">
        <v>7</v>
      </c>
      <c r="I1" s="6" t="s">
        <v>8</v>
      </c>
      <c r="J1" s="7" t="s">
        <v>9</v>
      </c>
      <c r="K1" s="5" t="s">
        <v>10</v>
      </c>
      <c r="L1" s="5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8" t="s">
        <v>16</v>
      </c>
      <c r="R1" s="5" t="s">
        <v>17</v>
      </c>
      <c r="S1" s="5" t="s">
        <v>18</v>
      </c>
      <c r="T1" s="3" t="s">
        <v>19</v>
      </c>
      <c r="U1" s="9" t="s">
        <v>20</v>
      </c>
      <c r="V1" s="3" t="s">
        <v>21</v>
      </c>
      <c r="W1" s="9" t="s">
        <v>22</v>
      </c>
      <c r="X1" s="7" t="s">
        <v>23</v>
      </c>
      <c r="Y1" s="7" t="s">
        <v>24</v>
      </c>
      <c r="Z1" s="10" t="s">
        <v>25</v>
      </c>
    </row>
    <row r="2" spans="1:26" ht="27.75" customHeight="1" x14ac:dyDescent="0.3">
      <c r="A2" s="11">
        <v>135708</v>
      </c>
      <c r="B2" s="12" t="s">
        <v>36</v>
      </c>
      <c r="C2" s="13" t="s">
        <v>26</v>
      </c>
      <c r="D2" s="13" t="s">
        <v>27</v>
      </c>
      <c r="E2" s="13" t="s">
        <v>28</v>
      </c>
      <c r="F2" s="13" t="s">
        <v>29</v>
      </c>
      <c r="G2" s="11">
        <v>40207</v>
      </c>
      <c r="H2" s="14">
        <v>12</v>
      </c>
      <c r="I2" s="15"/>
      <c r="J2" s="12" t="s">
        <v>30</v>
      </c>
      <c r="K2" s="12" t="s">
        <v>31</v>
      </c>
      <c r="L2" s="12"/>
      <c r="M2" s="13" t="s">
        <v>34</v>
      </c>
      <c r="N2" s="13"/>
      <c r="O2" s="12"/>
      <c r="P2" s="11"/>
      <c r="Q2" s="13" t="s">
        <v>32</v>
      </c>
      <c r="R2" s="16" t="s">
        <v>33</v>
      </c>
      <c r="S2" s="11" t="s">
        <v>35</v>
      </c>
      <c r="T2" s="22" t="s">
        <v>37</v>
      </c>
      <c r="U2" s="16" t="s">
        <v>42</v>
      </c>
      <c r="V2" s="16"/>
      <c r="W2" s="16"/>
      <c r="X2" s="11" t="s">
        <v>34</v>
      </c>
      <c r="Y2" s="22"/>
      <c r="Z2" s="16" t="s">
        <v>51</v>
      </c>
    </row>
    <row r="3" spans="1:26" ht="26.25" customHeight="1" x14ac:dyDescent="0.3">
      <c r="A3" s="17">
        <v>135746</v>
      </c>
      <c r="B3" s="18" t="s">
        <v>43</v>
      </c>
      <c r="C3" s="19" t="s">
        <v>38</v>
      </c>
      <c r="D3" s="19" t="s">
        <v>39</v>
      </c>
      <c r="E3" s="19" t="s">
        <v>40</v>
      </c>
      <c r="F3" s="19" t="s">
        <v>29</v>
      </c>
      <c r="G3" s="17">
        <v>40509</v>
      </c>
      <c r="H3" s="17">
        <v>12</v>
      </c>
      <c r="I3" s="19"/>
      <c r="J3" s="20">
        <v>1065</v>
      </c>
      <c r="K3" s="18" t="s">
        <v>41</v>
      </c>
      <c r="L3" s="19"/>
      <c r="M3" s="19"/>
      <c r="N3" s="19"/>
      <c r="O3" s="19"/>
      <c r="P3" s="19"/>
      <c r="Q3" s="19" t="s">
        <v>44</v>
      </c>
      <c r="R3" s="21" t="s">
        <v>45</v>
      </c>
      <c r="S3" s="19"/>
      <c r="T3" s="19" t="s">
        <v>44</v>
      </c>
      <c r="U3" s="21" t="s">
        <v>45</v>
      </c>
      <c r="V3" s="19"/>
      <c r="W3" s="19"/>
      <c r="X3" s="19"/>
      <c r="Y3" s="19"/>
      <c r="Z3" s="19" t="s">
        <v>51</v>
      </c>
    </row>
    <row r="4" spans="1:26" x14ac:dyDescent="0.3">
      <c r="A4" s="23">
        <v>135721</v>
      </c>
      <c r="B4" s="24" t="s">
        <v>46</v>
      </c>
      <c r="C4" s="24" t="s">
        <v>47</v>
      </c>
      <c r="D4" s="24" t="s">
        <v>48</v>
      </c>
      <c r="E4" s="24" t="s">
        <v>28</v>
      </c>
      <c r="F4" s="24" t="s">
        <v>29</v>
      </c>
      <c r="G4" s="24">
        <v>40241</v>
      </c>
      <c r="H4" s="23">
        <v>12</v>
      </c>
      <c r="I4" s="24"/>
      <c r="J4" s="24" t="s">
        <v>30</v>
      </c>
      <c r="K4" s="24"/>
      <c r="L4" s="24"/>
      <c r="M4" s="24"/>
      <c r="N4" s="24"/>
      <c r="O4" s="24"/>
      <c r="P4" s="24"/>
      <c r="Q4" s="24" t="s">
        <v>49</v>
      </c>
      <c r="R4" s="25" t="s">
        <v>50</v>
      </c>
      <c r="S4" s="24"/>
      <c r="T4" s="24" t="s">
        <v>49</v>
      </c>
      <c r="U4" s="25" t="s">
        <v>50</v>
      </c>
      <c r="V4" s="24"/>
      <c r="W4" s="24"/>
      <c r="X4" s="24"/>
      <c r="Y4" s="24"/>
      <c r="Z4" s="24" t="s">
        <v>52</v>
      </c>
    </row>
  </sheetData>
  <dataValidations count="5">
    <dataValidation type="list" allowBlank="1" showInputMessage="1" showErrorMessage="1" sqref="X2" xr:uid="{FBD9C7EE-C9A2-4C3E-9574-D55D6AE34DEA}">
      <formula1>"None,Tax,Book,Book &amp; Tax"</formula1>
    </dataValidation>
    <dataValidation type="list" allowBlank="1" showInputMessage="1" showErrorMessage="1" sqref="J2" xr:uid="{5C132F5B-982E-48EE-9466-D3CB5041FF6E}">
      <formula1>"1120,1120S,1065,1041,990,990-EZ,990-N,990-PF,KY 725"</formula1>
    </dataValidation>
    <dataValidation type="list" allowBlank="1" showInputMessage="1" showErrorMessage="1" sqref="M2" xr:uid="{BA96A7B7-03AC-49A2-AC2F-0C64E50AB1C8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S2 P2" xr:uid="{9ABF972A-30A7-4E23-9A1F-3D8EB13723CD}">
      <formula1>"X"</formula1>
    </dataValidation>
    <dataValidation type="list" allowBlank="1" showInputMessage="1" sqref="N2" xr:uid="{A066D77B-F25E-457E-B58A-83A1F5E00F0D}">
      <formula1>"GAAP,Tax,Modified Cash,Cash,Other"</formula1>
    </dataValidation>
  </dataValidations>
  <hyperlinks>
    <hyperlink ref="R2" r:id="rId1" xr:uid="{1B4ADC7A-8B88-4FC3-A9FE-ADD60998FEFC}"/>
    <hyperlink ref="U2" r:id="rId2" xr:uid="{8FD8CA80-8A44-4846-8061-79ABC3A95D76}"/>
    <hyperlink ref="R3" r:id="rId3" xr:uid="{88E9A22D-D9DF-4AD6-9DA0-7F6664AB2C22}"/>
    <hyperlink ref="U3" r:id="rId4" xr:uid="{A28982A1-80B3-4C07-B6AB-43B1425BBEB8}"/>
    <hyperlink ref="R4" r:id="rId5" xr:uid="{C880D81E-ACFE-4FB0-AD18-0E386167707B}"/>
    <hyperlink ref="U4" r:id="rId6" xr:uid="{FD8CD0E8-9D7C-402A-97B8-8416DBA86376}"/>
  </hyperlinks>
  <pageMargins left="0.2" right="0.2" top="0.25" bottom="0.5" header="0.3" footer="0.3"/>
  <pageSetup scale="55" orientation="landscape" verticalDpi="0" r:id="rId7"/>
  <legacyDrawing r:id="rId8"/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AD1EFB-330B-4111-A8A4-F9FF37C6991F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A1763451-48C1-4D1E-BEB5-54E7E1649E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1A08B76-DAF0-4C58-B909-1C69EEABB0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Bramer, Michael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2021-12-21T19:17:03Z</cp:lastPrinted>
  <dcterms:created xsi:type="dcterms:W3CDTF">2021-12-10T21:55:14Z</dcterms:created>
  <dcterms:modified xsi:type="dcterms:W3CDTF">2023-08-22T07:17:32Z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