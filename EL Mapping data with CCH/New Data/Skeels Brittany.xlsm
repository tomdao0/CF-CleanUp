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006B81B4-E33D-4C7F-BC3D-D3906E8A5895}" xr6:coauthVersionLast="47" xr6:coauthVersionMax="47" xr10:uidLastSave="{00000000-0000-0000-0000-000000000000}"/>
  <bookViews>
    <workbookView xWindow="-108" yWindow="-108" windowWidth="23256" windowHeight="12456" xr2:uid="{2118D2E2-8FA7-4B28-B4EB-0E351485ABCB}"/>
  </bookViews>
  <sheets>
    <sheet name="Skeels, Brittany" sheetId="1" r:id="rId1"/>
  </sheets>
  <definedNames>
    <definedName name="_xlnm._FilterDatabase" localSheetId="0" hidden="1">'Skeels, Brittany'!$A$1:$Z$11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9CB417F7-E0F6-4469-846F-C9E22CF9B32B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36A8B4D6-FB40-48D9-910E-EEB6D4868B4C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C079382F-B204-47A7-B173-85709E2C09A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7DE168B3-F215-4A62-9600-E6F99F0BF139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<sst xmlns="http://schemas.openxmlformats.org/spreadsheetml/2006/main" count="173" uniqueCount="100">
  <si>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</si>
  <si>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</si>
  <si>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</si>
  <si>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</si>
  <si>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</si>
  <si>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</si>
  <si>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</si>
  <si>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</si>
  <si>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</si>
  <si>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</si>
  <si>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</si>
  <si>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</si>
  <si>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</si>
  <si>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</si>
  <si>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</si>
  <si>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</si>
  <si>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</si>
  <si>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</si>
  <si>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</si>
  <si>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</si>
  <si>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</si>
  <si>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</si>
  <si>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</si>
  <si>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</si>
  <si>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</si>
  <si>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</si>
  <si>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7926</t>
  </si>
  <si>
    <t>ASPIRE</t>
  </si>
  <si>
    <t>Aspire Innovation, LLC</t>
  </si>
  <si>
    <t>3301 Jaylynn</t>
  </si>
  <si>
    <t>Evansville</t>
  </si>
  <si>
    <t>Indiana</t>
  </si>
  <si>
    <t>47725</t>
  </si>
  <si>
    <t>1120S</t>
  </si>
  <si>
    <t>None</t>
  </si>
  <si>
    <t>Brandon Barnard</t>
  </si>
  <si>
    <t>brandon.barnard@standzout.com</t>
  </si>
  <si>
    <t>Tax</t>
  </si>
  <si>
    <t>Skeels, Brittany</t>
  </si>
  <si>
    <t>8910</t>
  </si>
  <si>
    <t>WALKER &amp; WALKER</t>
  </si>
  <si>
    <t>Walker &amp; Walker, LLC</t>
  </si>
  <si>
    <t>2400 South Ocean Drive #4184</t>
  </si>
  <si>
    <t>Ft. Pierce</t>
  </si>
  <si>
    <t>Florida</t>
  </si>
  <si>
    <t>Kentucky</t>
  </si>
  <si>
    <t>Judith Walker</t>
  </si>
  <si>
    <t>judilip@aol.com</t>
  </si>
  <si>
    <t>WILDEMAN</t>
  </si>
  <si>
    <t>Wilde Horticultural Services</t>
  </si>
  <si>
    <t>1732 West Franklin Street, Unit C</t>
  </si>
  <si>
    <t>Brian Wildeman</t>
  </si>
  <si>
    <t>brian@wildespaces.com</t>
  </si>
  <si>
    <t>STONE RIDGE ANIMAL CARE</t>
  </si>
  <si>
    <t>40 East Boonville-New Harmony Road</t>
  </si>
  <si>
    <t>Evanville</t>
  </si>
  <si>
    <t>Bryan Helms</t>
  </si>
  <si>
    <t>bhelms@srac40.com</t>
  </si>
  <si>
    <t>Stone Ridge Animcal Care LA, LLC</t>
  </si>
  <si>
    <t>JBS Barnyard, LLC</t>
  </si>
  <si>
    <t>622 Drexel Drive</t>
  </si>
  <si>
    <t>jbsbarnyard@gmail.com</t>
  </si>
  <si>
    <t>7406</t>
  </si>
  <si>
    <t>GOD IS GOOD FND</t>
  </si>
  <si>
    <t>God is Good Foundation, Inc.</t>
  </si>
  <si>
    <t>P.O. Box 47</t>
  </si>
  <si>
    <t>Newburgh</t>
  </si>
  <si>
    <t>990-PF</t>
  </si>
  <si>
    <t>Barb Bias</t>
  </si>
  <si>
    <t>contact@godisgood.org</t>
  </si>
  <si>
    <t>X</t>
  </si>
  <si>
    <t>Cyndy Beavin</t>
  </si>
  <si>
    <t>cbeavin@hsccpa.com</t>
  </si>
  <si>
    <t>8332</t>
  </si>
  <si>
    <t>ANGLO OIL</t>
  </si>
  <si>
    <t>Anglo Oil, LLC</t>
  </si>
  <si>
    <t>1 South Dearborn Street, 21st Floor</t>
  </si>
  <si>
    <t>Chicago</t>
  </si>
  <si>
    <t>Illinois</t>
  </si>
  <si>
    <t>1065</t>
  </si>
  <si>
    <t>David Hyman</t>
  </si>
  <si>
    <t>admin@anglo-oil.com</t>
  </si>
  <si>
    <t>7568</t>
  </si>
  <si>
    <t>SUPER BIKE</t>
  </si>
  <si>
    <t>Maddox Properties, LLC</t>
  </si>
  <si>
    <t>1980 North Burkhardt Road</t>
  </si>
  <si>
    <t>47715</t>
  </si>
  <si>
    <t>Rachel Virgin</t>
  </si>
  <si>
    <t>rachel@esuperbike.com</t>
  </si>
  <si>
    <t>No CAL</t>
  </si>
  <si>
    <t>7569</t>
  </si>
  <si>
    <t>Virgin Enterprises, LLC</t>
  </si>
  <si>
    <t>6616</t>
  </si>
  <si>
    <t>Evansville Super Bike Shop, Inc.</t>
  </si>
  <si>
    <t>Mary Payne</t>
  </si>
  <si>
    <t>mpayne@hsccpa.com</t>
  </si>
  <si>
    <t>Briley Simpkins</t>
  </si>
  <si>
    <t>Book</t>
  </si>
  <si>
    <t>JBS BARNYARD</t>
  </si>
  <si>
    <t>Indiana, Kentucky, and Henderson County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</si>
</sst>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8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sz val="8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9">
    <xf numFmtId="0" fontId="0" fillId="0" borderId="0" xfId="0"/>
    <xf numFmtId="0" fontId="7" fillId="0" borderId="1" xfId="2" applyFont="1" applyBorder="1" applyAlignment="1">
      <alignment horizontal="left" wrapText="1"/>
    </xf>
    <xf numFmtId="0" fontId="7" fillId="0" borderId="1" xfId="2" applyFont="1" applyBorder="1" applyAlignment="1">
      <alignment horizontal="left"/>
    </xf>
    <xf numFmtId="0" fontId="7" fillId="0" borderId="1" xfId="2" applyFont="1" applyBorder="1" applyAlignment="1">
      <alignment horizontal="center"/>
    </xf>
    <xf numFmtId="0" fontId="7" fillId="0" borderId="2" xfId="2" applyFont="1" applyBorder="1" applyAlignment="1">
      <alignment horizontal="left" wrapText="1"/>
    </xf>
    <xf numFmtId="42" fontId="7" fillId="0" borderId="1" xfId="2" applyNumberFormat="1" applyFont="1" applyBorder="1" applyAlignment="1">
      <alignment horizontal="left" wrapText="1"/>
    </xf>
    <xf numFmtId="0" fontId="7" fillId="0" borderId="3" xfId="2" applyFont="1" applyBorder="1" applyAlignment="1">
      <alignment horizontal="left" wrapText="1"/>
    </xf>
    <xf numFmtId="0" fontId="7" fillId="0" borderId="2" xfId="1" applyFont="1" applyBorder="1" applyAlignment="1"/>
    <xf numFmtId="0" fontId="7" fillId="0" borderId="1" xfId="1" applyFont="1" applyBorder="1" applyAlignment="1"/>
    <xf numFmtId="0" fontId="7" fillId="0" borderId="4" xfId="1" applyFont="1" applyBorder="1" applyAlignment="1"/>
    <xf numFmtId="0" fontId="7" fillId="0" borderId="2" xfId="2" applyFont="1" applyBorder="1" applyAlignment="1">
      <alignment horizontal="center" wrapText="1"/>
    </xf>
    <xf numFmtId="0" fontId="0" fillId="0" borderId="0" xfId="0" applyAlignment="1">
      <alignment horizontal="center"/>
    </xf>
    <xf numFmtId="0" fontId="1" fillId="2" borderId="6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 wrapText="1"/>
    </xf>
    <xf numFmtId="0" fontId="2" fillId="2" borderId="7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left" wrapText="1"/>
    </xf>
    <xf numFmtId="0" fontId="1" fillId="2" borderId="7" xfId="0" applyFont="1" applyFill="1" applyBorder="1"/>
    <xf numFmtId="0" fontId="1" fillId="2" borderId="8" xfId="0" applyFont="1" applyFill="1" applyBorder="1" applyAlignment="1">
      <alignment horizontal="center"/>
    </xf>
    <xf numFmtId="0" fontId="7" fillId="0" borderId="1" xfId="2" quotePrefix="1" applyFont="1" applyBorder="1" applyAlignment="1">
      <alignment horizontal="center"/>
    </xf>
    <xf numFmtId="0" fontId="7" fillId="0" borderId="1" xfId="2" applyFont="1" applyBorder="1" applyAlignment="1">
      <alignment horizontal="left" vertical="top" wrapText="1"/>
    </xf>
    <xf numFmtId="0" fontId="7" fillId="0" borderId="2" xfId="1" applyFont="1" applyFill="1" applyBorder="1" applyAlignment="1"/>
    <xf numFmtId="0" fontId="7" fillId="0" borderId="1" xfId="1" applyFont="1" applyFill="1" applyBorder="1" applyAlignment="1"/>
    <xf numFmtId="0" fontId="7" fillId="0" borderId="4" xfId="1" applyFont="1" applyFill="1" applyBorder="1" applyAlignment="1"/>
    <xf numFmtId="0" fontId="7" fillId="0" borderId="5" xfId="2" applyFont="1" applyBorder="1" applyAlignment="1">
      <alignment horizontal="center"/>
    </xf>
    <xf numFmtId="0" fontId="7" fillId="0" borderId="9" xfId="2" applyFont="1" applyBorder="1" applyAlignment="1">
      <alignment horizontal="left"/>
    </xf>
    <xf numFmtId="0" fontId="7" fillId="0" borderId="9" xfId="2" applyFont="1" applyBorder="1" applyAlignment="1">
      <alignment horizontal="center"/>
    </xf>
    <xf numFmtId="0" fontId="7" fillId="0" borderId="10" xfId="2" applyFont="1" applyBorder="1" applyAlignment="1">
      <alignment horizontal="center" wrapText="1"/>
    </xf>
    <xf numFmtId="42" fontId="7" fillId="0" borderId="9" xfId="2" applyNumberFormat="1" applyFont="1" applyBorder="1" applyAlignment="1">
      <alignment horizontal="left" wrapText="1"/>
    </xf>
    <xf numFmtId="0" fontId="7" fillId="0" borderId="10" xfId="2" applyFont="1" applyBorder="1" applyAlignment="1">
      <alignment horizontal="left" wrapText="1"/>
    </xf>
    <xf numFmtId="0" fontId="7" fillId="0" borderId="9" xfId="2" applyFont="1" applyBorder="1" applyAlignment="1">
      <alignment horizontal="left" wrapText="1"/>
    </xf>
    <xf numFmtId="0" fontId="7" fillId="0" borderId="11" xfId="2" applyFont="1" applyBorder="1" applyAlignment="1">
      <alignment horizontal="left" wrapText="1"/>
    </xf>
    <xf numFmtId="0" fontId="7" fillId="0" borderId="10" xfId="1" applyFont="1" applyFill="1" applyBorder="1" applyAlignment="1"/>
    <xf numFmtId="0" fontId="7" fillId="0" borderId="9" xfId="1" applyFont="1" applyFill="1" applyBorder="1" applyAlignment="1"/>
    <xf numFmtId="0" fontId="7" fillId="0" borderId="12" xfId="1" applyFont="1" applyFill="1" applyBorder="1" applyAlignment="1"/>
    <xf numFmtId="0" fontId="7" fillId="3" borderId="1" xfId="1" applyFont="1" applyFill="1" applyBorder="1" applyAlignment="1">
      <alignment horizontal="left" vertical="center" wrapText="1"/>
    </xf>
    <xf numFmtId="0" fontId="7" fillId="3" borderId="9" xfId="1" applyFont="1" applyFill="1" applyBorder="1" applyAlignment="1">
      <alignment horizontal="left" vertical="center" wrapText="1"/>
    </xf>
  </cellXfs>
  <cellStyles count="3">
    <cellStyle name="Hyperlink" xfId="1" builtinId="8"/>
    <cellStyle name="Normal" xfId="0" builtinId="0"/>
    <cellStyle name="Normal 2" xfId="2" xr:uid="{F2AC6C68-2F1B-4164-ACC0-0FBF24973F52}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theme="4" tint="0.79998168889431442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theme="4" tint="0.79998168889431442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32" formatCode="_(&quot;$&quot;* #,##0_);_(&quot;$&quot;* \(#,##0\);_(&quot;$&quot;* &quot;-&quot;_);_(@_)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74907B-AFF1-49C3-8F9F-6606FC51A4B5}" name="Table1" displayName="Table1" ref="A1:Z11" totalsRowShown="0" headerRowBorderDxfId="27" tableBorderDxfId="26">
  <sortState xmlns:xlrd2="http://schemas.microsoft.com/office/spreadsheetml/2017/richdata2" ref="A2:Z11">
    <sortCondition ref="B2:B11"/>
  </sortState>
  <tableColumns count="26">
    <tableColumn id="1" xr3:uid="{9CDFF869-7781-4E1F-B100-207EBA17332F}" name="Client #" dataDxfId="25" dataCellStyle="Normal 2"/>
    <tableColumn id="2" xr3:uid="{56FDB61F-6034-4521-8512-E6E70742B47A}" name="Client Group" dataDxfId="24"/>
    <tableColumn id="3" xr3:uid="{8D179A81-DDAA-43BC-B5E8-63C5A4801B7F}" name="Client Name" dataDxfId="23" dataCellStyle="Normal 2"/>
    <tableColumn id="4" xr3:uid="{3FFC385D-3E5E-4B1A-AD7F-4AD704FF4EE4}" name="Address" dataDxfId="22" dataCellStyle="Normal 2"/>
    <tableColumn id="5" xr3:uid="{7916E8DC-8B53-4A9F-A098-BBE5FF4C56AF}" name="City" dataDxfId="21" dataCellStyle="Normal 2"/>
    <tableColumn id="6" xr3:uid="{9B56B195-BAFD-4414-934F-C824E69F18B3}" name="State" dataDxfId="20" dataCellStyle="Normal 2"/>
    <tableColumn id="7" xr3:uid="{F38C16F5-492D-4C6A-8E48-ED6D1543A49C}" name="ZipCode" dataDxfId="19" dataCellStyle="Normal 2"/>
    <tableColumn id="8" xr3:uid="{31759E02-61A5-4A0F-BBEC-243AF7ABB4A7}" name="Year End" dataDxfId="18" dataCellStyle="Normal 2"/>
    <tableColumn id="9" xr3:uid="{5D0F9C74-6DF3-4AF9-A424-9401E4C419B2}" name="Eng Ltr Fees if Inlcluded" dataDxfId="17" dataCellStyle="Normal 2"/>
    <tableColumn id="10" xr3:uid="{00A1B8BC-85F2-4CE4-934B-9A508306A80E}" name="Tax Eng Ltr Type" dataDxfId="16" dataCellStyle="Normal 2"/>
    <tableColumn id="11" xr3:uid="{065EF12D-5368-47E1-96F2-F51896F44388}" name="States/Localities" dataDxfId="15" dataCellStyle="Normal 2"/>
    <tableColumn id="12" xr3:uid="{F5F429F9-3732-4DD1-A999-BC91210FDF34}" name="Changes in States/Localities" dataDxfId="14" dataCellStyle="Normal 2"/>
    <tableColumn id="13" xr3:uid="{88775B62-E2FB-4E14-8F01-403917C5D3C9}" name="AA Eng Ltr Type" dataDxfId="13" dataCellStyle="Normal 2"/>
    <tableColumn id="14" xr3:uid="{6F7F4AFF-EAEE-445A-9601-40A7A2E85558}" name="AA Financial Framework (FF)" dataDxfId="12" dataCellStyle="Normal 2"/>
    <tableColumn id="15" xr3:uid="{504F6A6F-F8D8-40C1-9FA9-012526BF905D}" name="AA Departure from FF?" dataDxfId="11" dataCellStyle="Normal 2"/>
    <tableColumn id="16" xr3:uid="{8F009149-73C7-4697-8189-0DF6E37D21F1}" name="AA Not Independent?" dataDxfId="10" dataCellStyle="Normal 2"/>
    <tableColumn id="17" xr3:uid="{41066CB6-0440-4B10-8318-F94F3A3CB8F7}" name="Eng Ltr Contact" dataDxfId="9" dataCellStyle="Normal 2"/>
    <tableColumn id="18" xr3:uid="{BD36FE94-26C2-4137-ADD5-BBD142EAC59D}" name="Eng Ltr Contact Email" dataDxfId="8" dataCellStyle="Hyperlink"/>
    <tableColumn id="19" xr3:uid="{97A7440A-3DD9-4277-A9CD-C18B40905E3F}" name="OS Client" dataDxfId="7" dataCellStyle="Normal 2"/>
    <tableColumn id="20" xr3:uid="{100394B0-00FF-47A8-85DF-B7FF2FFCD645}" name="CAL Contact" dataDxfId="6" dataCellStyle="Normal 2"/>
    <tableColumn id="21" xr3:uid="{95A0921F-EDF6-4653-A696-EBA0A8F9F1A4}" name="CAL Contact Email" dataDxfId="5" dataCellStyle="Hyperlink"/>
    <tableColumn id="22" xr3:uid="{063B26BD-CD54-4A3B-BA7F-E6BAD0301416}" name="CAL Contact 2" dataDxfId="4" dataCellStyle="Hyperlink"/>
    <tableColumn id="23" xr3:uid="{02F9565B-7A79-4D63-979F-FA0126C8AC6E}" name="CAL Contact Email 2" dataDxfId="3" dataCellStyle="Hyperlink"/>
    <tableColumn id="24" xr3:uid="{D02C2672-1B69-4DFA-BB11-E6DE3D4C9C51}" name="Depreciation Schedule Sent w/ CAL?" dataDxfId="2" dataCellStyle="Normal 2"/>
    <tableColumn id="25" xr3:uid="{1637C700-9ABC-4DDD-923C-D1515919FE06}" name="Other Comments, Changes, etc." dataDxfId="1" dataCellStyle="Hyperlink"/>
    <tableColumn id="26" xr3:uid="{B7856162-6B60-402D-9DFF-78B4B9A676AA}" name="Primary" dataDxfId="0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jbsbarnyard@gmail.com" TargetMode="External"/><Relationship Id="rId3" Type="http://schemas.openxmlformats.org/officeDocument/2006/relationships/hyperlink" Target="mailto:bhelms@srac40.com" TargetMode="External"/><Relationship Id="rId7" Type="http://schemas.openxmlformats.org/officeDocument/2006/relationships/hyperlink" Target="mailto:contact@godisgood.org" TargetMode="External"/><Relationship Id="rId12" Type="http://schemas.openxmlformats.org/officeDocument/2006/relationships/comments" Target="../comments1.xml"/><Relationship Id="rId2" Type="http://schemas.openxmlformats.org/officeDocument/2006/relationships/hyperlink" Target="mailto:brian@wildespaces.com" TargetMode="External"/><Relationship Id="rId1" Type="http://schemas.openxmlformats.org/officeDocument/2006/relationships/hyperlink" Target="mailto:brian@wildespaces.com" TargetMode="External"/><Relationship Id="rId6" Type="http://schemas.openxmlformats.org/officeDocument/2006/relationships/hyperlink" Target="mailto:cbeavin@hsccpa.com" TargetMode="External"/><Relationship Id="rId11" Type="http://schemas.openxmlformats.org/officeDocument/2006/relationships/table" Target="../tables/table1.xml"/><Relationship Id="rId5" Type="http://schemas.openxmlformats.org/officeDocument/2006/relationships/hyperlink" Target="mailto:jbsbarnyard@gmail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bhelms@srac40.com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D54B1-3C4E-48EB-B45B-3115CDF23EBA}">
  <sheetPr codeName="Sheet1"/>
  <dimension ref="A1:Z11"/>
  <sheetViews>
    <sheetView tabSelected="1" workbookViewId="0"/>
  </sheetViews>
  <sheetFormatPr defaultRowHeight="14.4" x14ac:dyDescent="0.3"/>
  <cols>
    <col min="1" max="1" width="10" customWidth="1"/>
    <col min="2" max="2" width="19.5546875" customWidth="1"/>
    <col min="3" max="3" width="24.33203125" customWidth="1"/>
    <col min="4" max="4" width="27.33203125" customWidth="1"/>
    <col min="5" max="5" width="8.6640625" customWidth="1"/>
    <col min="6" max="6" width="7.88671875" customWidth="1"/>
    <col min="7" max="7" width="10.5546875" customWidth="1"/>
    <col min="8" max="8" width="8.5546875" style="11" customWidth="1"/>
    <col min="9" max="9" width="15.33203125" customWidth="1"/>
    <col min="10" max="10" width="11.33203125" customWidth="1"/>
    <col min="11" max="11" width="18" customWidth="1"/>
    <col min="12" max="12" width="20" customWidth="1"/>
    <col min="13" max="13" width="14.44140625" customWidth="1"/>
    <col min="14" max="14" width="18.33203125" customWidth="1"/>
    <col min="15" max="15" width="14.6640625" customWidth="1"/>
    <col min="16" max="16" width="20.44140625" customWidth="1"/>
    <col min="17" max="17" width="17" customWidth="1"/>
    <col min="18" max="18" width="24.6640625" customWidth="1"/>
    <col min="19" max="19" width="11.6640625" customWidth="1"/>
    <col min="20" max="20" width="14.33203125" customWidth="1"/>
    <col min="21" max="21" width="25" customWidth="1"/>
    <col min="22" max="22" width="15.88671875" customWidth="1"/>
    <col min="23" max="23" width="21.5546875" customWidth="1"/>
    <col min="24" max="24" width="19" customWidth="1"/>
    <col min="25" max="25" width="31.6640625" customWidth="1"/>
    <col min="26" max="26" width="11.33203125" bestFit="1" customWidth="1"/>
  </cols>
  <sheetData>
    <row r="1" spans="1:26" ht="43.95" customHeight="1" x14ac:dyDescent="0.3">
      <c r="A1" s="12" t="s">
        <v>0</v>
      </c>
      <c r="B1" s="13" t="s">
        <v>1</v>
      </c>
      <c r="C1" s="13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6" t="s">
        <v>7</v>
      </c>
      <c r="I1" s="16" t="s">
        <v>8</v>
      </c>
      <c r="J1" s="17" t="s">
        <v>9</v>
      </c>
      <c r="K1" s="15" t="s">
        <v>10</v>
      </c>
      <c r="L1" s="15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8" t="s">
        <v>16</v>
      </c>
      <c r="R1" s="15" t="s">
        <v>17</v>
      </c>
      <c r="S1" s="15" t="s">
        <v>18</v>
      </c>
      <c r="T1" s="13" t="s">
        <v>19</v>
      </c>
      <c r="U1" s="19" t="s">
        <v>20</v>
      </c>
      <c r="V1" s="13" t="s">
        <v>21</v>
      </c>
      <c r="W1" s="19" t="s">
        <v>22</v>
      </c>
      <c r="X1" s="17" t="s">
        <v>23</v>
      </c>
      <c r="Y1" s="17" t="s">
        <v>24</v>
      </c>
      <c r="Z1" s="20" t="s">
        <v>25</v>
      </c>
    </row>
    <row r="2" spans="1:26" x14ac:dyDescent="0.3">
      <c r="A2" s="21" t="s">
        <v>73</v>
      </c>
      <c r="B2" s="2" t="s">
        <v>74</v>
      </c>
      <c r="C2" s="2" t="s">
        <v>75</v>
      </c>
      <c r="D2" s="2" t="s">
        <v>76</v>
      </c>
      <c r="E2" s="2" t="s">
        <v>77</v>
      </c>
      <c r="F2" s="2" t="s">
        <v>78</v>
      </c>
      <c r="G2" s="3">
        <v>60603</v>
      </c>
      <c r="H2" s="10">
        <v>12</v>
      </c>
      <c r="I2" s="5"/>
      <c r="J2" s="4" t="s">
        <v>79</v>
      </c>
      <c r="K2" s="1" t="s">
        <v>78</v>
      </c>
      <c r="L2" s="6"/>
      <c r="M2" s="2" t="s">
        <v>34</v>
      </c>
      <c r="N2" s="2"/>
      <c r="O2" s="1"/>
      <c r="P2" s="3"/>
      <c r="Q2" s="2" t="s">
        <v>80</v>
      </c>
      <c r="R2" s="7" t="s">
        <v>81</v>
      </c>
      <c r="S2" s="3"/>
      <c r="T2" s="2" t="s">
        <v>80</v>
      </c>
      <c r="U2" s="24" t="s">
        <v>81</v>
      </c>
      <c r="V2" s="8"/>
      <c r="W2" s="8"/>
      <c r="X2" s="3" t="s">
        <v>34</v>
      </c>
      <c r="Y2" s="37"/>
      <c r="Z2" s="9" t="s">
        <v>38</v>
      </c>
    </row>
    <row r="3" spans="1:26" x14ac:dyDescent="0.3">
      <c r="A3" s="21" t="s">
        <v>26</v>
      </c>
      <c r="B3" s="1" t="s">
        <v>27</v>
      </c>
      <c r="C3" s="2" t="s">
        <v>28</v>
      </c>
      <c r="D3" s="2" t="s">
        <v>29</v>
      </c>
      <c r="E3" s="2" t="s">
        <v>30</v>
      </c>
      <c r="F3" s="2" t="s">
        <v>31</v>
      </c>
      <c r="G3" s="3" t="s">
        <v>32</v>
      </c>
      <c r="H3" s="10">
        <v>12</v>
      </c>
      <c r="I3" s="5"/>
      <c r="J3" s="4" t="s">
        <v>33</v>
      </c>
      <c r="K3" s="1" t="s">
        <v>31</v>
      </c>
      <c r="L3" s="6"/>
      <c r="M3" s="2" t="s">
        <v>34</v>
      </c>
      <c r="N3" s="2"/>
      <c r="O3" s="1"/>
      <c r="P3" s="3"/>
      <c r="Q3" s="2" t="s">
        <v>35</v>
      </c>
      <c r="R3" s="23" t="s">
        <v>36</v>
      </c>
      <c r="S3" s="3"/>
      <c r="T3" s="2" t="s">
        <v>35</v>
      </c>
      <c r="U3" s="24" t="s">
        <v>36</v>
      </c>
      <c r="V3" s="24"/>
      <c r="W3" s="24"/>
      <c r="X3" s="3" t="s">
        <v>37</v>
      </c>
      <c r="Y3" s="37"/>
      <c r="Z3" s="25" t="s">
        <v>38</v>
      </c>
    </row>
    <row r="4" spans="1:26" x14ac:dyDescent="0.3">
      <c r="A4" s="21" t="s">
        <v>62</v>
      </c>
      <c r="B4" s="2" t="s">
        <v>63</v>
      </c>
      <c r="C4" s="2" t="s">
        <v>64</v>
      </c>
      <c r="D4" s="2" t="s">
        <v>65</v>
      </c>
      <c r="E4" s="2" t="s">
        <v>66</v>
      </c>
      <c r="F4" s="2" t="s">
        <v>31</v>
      </c>
      <c r="G4" s="3">
        <v>47629</v>
      </c>
      <c r="H4" s="10">
        <v>12</v>
      </c>
      <c r="I4" s="5"/>
      <c r="J4" s="4" t="s">
        <v>67</v>
      </c>
      <c r="K4" s="1" t="s">
        <v>31</v>
      </c>
      <c r="L4" s="6"/>
      <c r="M4" s="2" t="s">
        <v>34</v>
      </c>
      <c r="N4" s="2"/>
      <c r="O4" s="1"/>
      <c r="P4" s="3"/>
      <c r="Q4" s="2" t="s">
        <v>68</v>
      </c>
      <c r="R4" s="23" t="s">
        <v>69</v>
      </c>
      <c r="S4" s="3" t="s">
        <v>70</v>
      </c>
      <c r="T4" s="2" t="s">
        <v>71</v>
      </c>
      <c r="U4" s="24" t="s">
        <v>72</v>
      </c>
      <c r="V4" s="24"/>
      <c r="W4" s="24"/>
      <c r="X4" s="3" t="s">
        <v>34</v>
      </c>
      <c r="Y4" s="37"/>
      <c r="Z4" s="25" t="s">
        <v>38</v>
      </c>
    </row>
    <row r="5" spans="1:26" x14ac:dyDescent="0.3">
      <c r="A5" s="3">
        <v>10086</v>
      </c>
      <c r="B5" s="2" t="s">
        <v>98</v>
      </c>
      <c r="C5" s="2" t="s">
        <v>59</v>
      </c>
      <c r="D5" s="2" t="s">
        <v>60</v>
      </c>
      <c r="E5" s="2" t="s">
        <v>55</v>
      </c>
      <c r="F5" s="2" t="s">
        <v>31</v>
      </c>
      <c r="G5" s="3">
        <v>47712</v>
      </c>
      <c r="H5" s="10">
        <v>12</v>
      </c>
      <c r="I5" s="5"/>
      <c r="J5" s="4">
        <v>1065</v>
      </c>
      <c r="K5" s="1" t="s">
        <v>31</v>
      </c>
      <c r="L5" s="6"/>
      <c r="M5" s="2" t="s">
        <v>34</v>
      </c>
      <c r="N5" s="2"/>
      <c r="O5" s="1"/>
      <c r="P5" s="3"/>
      <c r="Q5" s="2" t="s">
        <v>96</v>
      </c>
      <c r="R5" s="23" t="s">
        <v>61</v>
      </c>
      <c r="S5" s="3"/>
      <c r="T5" s="2" t="s">
        <v>96</v>
      </c>
      <c r="U5" s="24" t="s">
        <v>61</v>
      </c>
      <c r="V5" s="24"/>
      <c r="W5" s="24"/>
      <c r="X5" s="3" t="s">
        <v>34</v>
      </c>
      <c r="Y5" s="37"/>
      <c r="Z5" s="25" t="s">
        <v>38</v>
      </c>
    </row>
    <row r="6" spans="1:26" ht="21" customHeight="1" x14ac:dyDescent="0.3">
      <c r="A6" s="3">
        <v>9904</v>
      </c>
      <c r="B6" s="22" t="s">
        <v>53</v>
      </c>
      <c r="C6" s="2" t="s">
        <v>58</v>
      </c>
      <c r="D6" s="2" t="s">
        <v>54</v>
      </c>
      <c r="E6" s="2" t="s">
        <v>55</v>
      </c>
      <c r="F6" s="2" t="s">
        <v>31</v>
      </c>
      <c r="G6" s="3">
        <v>47725</v>
      </c>
      <c r="H6" s="10">
        <v>12</v>
      </c>
      <c r="I6" s="5"/>
      <c r="J6" s="4">
        <v>1065</v>
      </c>
      <c r="K6" s="1" t="s">
        <v>31</v>
      </c>
      <c r="L6" s="6"/>
      <c r="M6" s="2" t="s">
        <v>34</v>
      </c>
      <c r="N6" s="2"/>
      <c r="O6" s="1"/>
      <c r="P6" s="3"/>
      <c r="Q6" s="2" t="s">
        <v>56</v>
      </c>
      <c r="R6" s="23" t="s">
        <v>57</v>
      </c>
      <c r="S6" s="3"/>
      <c r="T6" s="2" t="s">
        <v>56</v>
      </c>
      <c r="U6" s="24" t="s">
        <v>57</v>
      </c>
      <c r="V6" s="24"/>
      <c r="W6" s="24"/>
      <c r="X6" s="3"/>
      <c r="Y6" s="37"/>
      <c r="Z6" s="25" t="s">
        <v>38</v>
      </c>
    </row>
    <row r="7" spans="1:26" x14ac:dyDescent="0.3">
      <c r="A7" s="3" t="s">
        <v>82</v>
      </c>
      <c r="B7" s="1" t="s">
        <v>83</v>
      </c>
      <c r="C7" s="2" t="s">
        <v>84</v>
      </c>
      <c r="D7" s="2" t="s">
        <v>85</v>
      </c>
      <c r="E7" s="2" t="s">
        <v>30</v>
      </c>
      <c r="F7" s="2" t="s">
        <v>31</v>
      </c>
      <c r="G7" s="3" t="s">
        <v>86</v>
      </c>
      <c r="H7" s="10">
        <v>12</v>
      </c>
      <c r="I7" s="5"/>
      <c r="J7" s="4" t="s">
        <v>79</v>
      </c>
      <c r="K7" s="1" t="s">
        <v>31</v>
      </c>
      <c r="L7" s="6"/>
      <c r="M7" s="2" t="s">
        <v>34</v>
      </c>
      <c r="N7" s="2"/>
      <c r="O7" s="1"/>
      <c r="P7" s="3"/>
      <c r="Q7" s="2" t="s">
        <v>87</v>
      </c>
      <c r="R7" s="23" t="s">
        <v>88</v>
      </c>
      <c r="S7" s="3"/>
      <c r="T7" s="2" t="s">
        <v>89</v>
      </c>
      <c r="U7" s="24"/>
      <c r="V7" s="24"/>
      <c r="W7" s="24"/>
      <c r="X7" s="3" t="s">
        <v>34</v>
      </c>
      <c r="Y7" s="37"/>
      <c r="Z7" s="25" t="s">
        <v>38</v>
      </c>
    </row>
    <row r="8" spans="1:26" x14ac:dyDescent="0.3">
      <c r="A8" s="3" t="s">
        <v>90</v>
      </c>
      <c r="B8" s="1" t="s">
        <v>83</v>
      </c>
      <c r="C8" s="2" t="s">
        <v>91</v>
      </c>
      <c r="D8" s="2" t="s">
        <v>85</v>
      </c>
      <c r="E8" s="2" t="s">
        <v>30</v>
      </c>
      <c r="F8" s="2" t="s">
        <v>31</v>
      </c>
      <c r="G8" s="3" t="s">
        <v>86</v>
      </c>
      <c r="H8" s="10">
        <v>12</v>
      </c>
      <c r="I8" s="5"/>
      <c r="J8" s="4" t="s">
        <v>79</v>
      </c>
      <c r="K8" s="1" t="s">
        <v>31</v>
      </c>
      <c r="L8" s="6"/>
      <c r="M8" s="2" t="s">
        <v>34</v>
      </c>
      <c r="N8" s="2"/>
      <c r="O8" s="1"/>
      <c r="P8" s="3"/>
      <c r="Q8" s="2" t="s">
        <v>87</v>
      </c>
      <c r="R8" s="7" t="s">
        <v>88</v>
      </c>
      <c r="S8" s="3"/>
      <c r="T8" s="2" t="s">
        <v>89</v>
      </c>
      <c r="U8" s="24"/>
      <c r="V8" s="8"/>
      <c r="W8" s="8"/>
      <c r="X8" s="3" t="s">
        <v>34</v>
      </c>
      <c r="Y8" s="37"/>
      <c r="Z8" s="9" t="s">
        <v>38</v>
      </c>
    </row>
    <row r="9" spans="1:26" x14ac:dyDescent="0.3">
      <c r="A9" s="3" t="s">
        <v>92</v>
      </c>
      <c r="B9" s="1" t="s">
        <v>83</v>
      </c>
      <c r="C9" s="2" t="s">
        <v>93</v>
      </c>
      <c r="D9" s="2" t="s">
        <v>85</v>
      </c>
      <c r="E9" s="2" t="s">
        <v>30</v>
      </c>
      <c r="F9" s="2" t="s">
        <v>31</v>
      </c>
      <c r="G9" s="3" t="s">
        <v>86</v>
      </c>
      <c r="H9" s="10">
        <v>12</v>
      </c>
      <c r="I9" s="5"/>
      <c r="J9" s="4" t="s">
        <v>33</v>
      </c>
      <c r="K9" s="1" t="s">
        <v>31</v>
      </c>
      <c r="L9" s="6"/>
      <c r="M9" s="2" t="s">
        <v>34</v>
      </c>
      <c r="N9" s="2"/>
      <c r="O9" s="1"/>
      <c r="P9" s="3"/>
      <c r="Q9" s="2" t="s">
        <v>87</v>
      </c>
      <c r="R9" s="23" t="s">
        <v>88</v>
      </c>
      <c r="S9" s="26" t="s">
        <v>70</v>
      </c>
      <c r="T9" s="2" t="s">
        <v>94</v>
      </c>
      <c r="U9" s="24" t="s">
        <v>95</v>
      </c>
      <c r="V9" s="24"/>
      <c r="W9" s="24"/>
      <c r="X9" s="3" t="s">
        <v>34</v>
      </c>
      <c r="Y9" s="37"/>
      <c r="Z9" s="25" t="s">
        <v>38</v>
      </c>
    </row>
    <row r="10" spans="1:26" x14ac:dyDescent="0.3">
      <c r="A10" s="21" t="s">
        <v>39</v>
      </c>
      <c r="B10" s="2" t="s">
        <v>40</v>
      </c>
      <c r="C10" s="2" t="s">
        <v>41</v>
      </c>
      <c r="D10" s="2" t="s">
        <v>42</v>
      </c>
      <c r="E10" s="2" t="s">
        <v>43</v>
      </c>
      <c r="F10" s="2" t="s">
        <v>44</v>
      </c>
      <c r="G10" s="3">
        <v>34949</v>
      </c>
      <c r="H10" s="10">
        <v>12</v>
      </c>
      <c r="I10" s="5"/>
      <c r="J10" s="4">
        <v>1065</v>
      </c>
      <c r="K10" s="1" t="s">
        <v>45</v>
      </c>
      <c r="L10" s="6"/>
      <c r="M10" s="2" t="s">
        <v>34</v>
      </c>
      <c r="N10" s="2"/>
      <c r="O10" s="1"/>
      <c r="P10" s="3"/>
      <c r="Q10" s="2" t="s">
        <v>46</v>
      </c>
      <c r="R10" s="7" t="s">
        <v>47</v>
      </c>
      <c r="S10" s="26"/>
      <c r="T10" s="2" t="s">
        <v>46</v>
      </c>
      <c r="U10" s="24" t="s">
        <v>47</v>
      </c>
      <c r="V10" s="8"/>
      <c r="W10" s="8"/>
      <c r="X10" s="3" t="s">
        <v>34</v>
      </c>
      <c r="Y10" s="37"/>
      <c r="Z10" s="9" t="s">
        <v>38</v>
      </c>
    </row>
    <row r="11" spans="1:26" ht="21.6" x14ac:dyDescent="0.3">
      <c r="A11" s="28">
        <v>9924</v>
      </c>
      <c r="B11" s="27" t="s">
        <v>48</v>
      </c>
      <c r="C11" s="27" t="s">
        <v>49</v>
      </c>
      <c r="D11" s="27" t="s">
        <v>50</v>
      </c>
      <c r="E11" s="27" t="s">
        <v>30</v>
      </c>
      <c r="F11" s="27" t="s">
        <v>31</v>
      </c>
      <c r="G11" s="28">
        <v>47712</v>
      </c>
      <c r="H11" s="29">
        <v>12</v>
      </c>
      <c r="I11" s="30"/>
      <c r="J11" s="31" t="s">
        <v>33</v>
      </c>
      <c r="K11" s="32" t="s">
        <v>99</v>
      </c>
      <c r="L11" s="33"/>
      <c r="M11" s="27" t="s">
        <v>34</v>
      </c>
      <c r="N11" s="27"/>
      <c r="O11" s="32"/>
      <c r="P11" s="28"/>
      <c r="Q11" s="27" t="s">
        <v>51</v>
      </c>
      <c r="R11" s="34" t="s">
        <v>52</v>
      </c>
      <c r="S11" s="28"/>
      <c r="T11" s="27" t="s">
        <v>51</v>
      </c>
      <c r="U11" s="35" t="s">
        <v>52</v>
      </c>
      <c r="V11" s="35"/>
      <c r="W11" s="35"/>
      <c r="X11" s="28" t="s">
        <v>97</v>
      </c>
      <c r="Y11" s="38"/>
      <c r="Z11" s="36" t="s">
        <v>38</v>
      </c>
    </row>
  </sheetData>
  <conditionalFormatting sqref="L2:L3 I2:I3">
    <cfRule type="notContainsBlanks" dxfId="30" priority="3">
      <formula>LEN(TRIM(I2))&gt;0</formula>
    </cfRule>
  </conditionalFormatting>
  <conditionalFormatting sqref="L4">
    <cfRule type="notContainsBlanks" dxfId="29" priority="2">
      <formula>LEN(TRIM(L4))&gt;0</formula>
    </cfRule>
  </conditionalFormatting>
  <conditionalFormatting sqref="I4">
    <cfRule type="notContainsBlanks" dxfId="28" priority="1">
      <formula>LEN(TRIM(I4))&gt;0</formula>
    </cfRule>
  </conditionalFormatting>
  <dataValidations count="6">
    <dataValidation type="list" allowBlank="1" showInputMessage="1" showErrorMessage="1" sqref="X2:X4 X7:X11" xr:uid="{59F66150-FDAC-4320-8498-CD259705D215}">
      <formula1>"None,Tax,Book,Book &amp; Tax"</formula1>
    </dataValidation>
    <dataValidation type="list" allowBlank="1" showInputMessage="1" showErrorMessage="1" sqref="J2:J4 J7:J11" xr:uid="{B730D371-CBC3-4081-8D29-922885F96C9F}">
      <formula1>"1120,1120S,1065,1041,990,990-EZ,990-N,990-PF,KY 725"</formula1>
    </dataValidation>
    <dataValidation type="list" allowBlank="1" sqref="N4" xr:uid="{E461435E-E1AF-4D2A-9A95-E5D2C01158A2}">
      <formula1>"GAAP,Tax,Modified Cash,Cash,Other"</formula1>
    </dataValidation>
    <dataValidation type="list" allowBlank="1" showInputMessage="1" showErrorMessage="1" sqref="M7:M11 M2:M4 M5" xr:uid="{CC8A827A-5989-4AB5-96DD-046C645DF070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2:S4 P2:P4 S7:S11 P7:P11" xr:uid="{175D4295-3278-4036-93CE-44B2E316338E}">
      <formula1>"X"</formula1>
    </dataValidation>
    <dataValidation type="list" allowBlank="1" showInputMessage="1" sqref="N2:N3 N7:N11" xr:uid="{5C309F74-AA66-4809-A4C3-7D6FF40B34EB}">
      <formula1>"GAAP,Tax,Modified Cash,Cash,Other"</formula1>
    </dataValidation>
  </dataValidations>
  <hyperlinks>
    <hyperlink ref="R11" r:id="rId1" xr:uid="{F203C1CC-D546-47CB-A7A2-B1FBC0542599}"/>
    <hyperlink ref="U11" r:id="rId2" xr:uid="{AA778875-D0FD-4837-9A68-D667C9B9BB18}"/>
    <hyperlink ref="R6" r:id="rId3" xr:uid="{8086377F-4F49-465C-96FB-5F70C3D92C4A}"/>
    <hyperlink ref="U6" r:id="rId4" xr:uid="{130AF481-8466-4449-970B-A94A1054D317}"/>
    <hyperlink ref="R5" r:id="rId5" xr:uid="{E7B2AFB1-AC8B-493A-9146-4C620938FEE8}"/>
    <hyperlink ref="U4" r:id="rId6" xr:uid="{EEFFE1FF-FAAA-4553-8457-AF87C11A766E}"/>
    <hyperlink ref="R4" r:id="rId7" xr:uid="{2EC301EE-8FAA-46C0-8B2C-2693C2748B54}"/>
    <hyperlink ref="U5" r:id="rId8" xr:uid="{C7B22B1C-E3CC-4BF4-9BD4-02BFCF56923A}"/>
  </hyperlinks>
  <pageMargins left="0.2" right="0.2" top="0.25" bottom="0.25" header="0.3" footer="0.3"/>
  <pageSetup scale="85" orientation="landscape" verticalDpi="0" r:id="rId9"/>
  <legacyDrawing r:id="rId10"/>
  <tableParts count="1"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051FFF5-43BB-4952-A894-11EE821FCBEE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2.xml><?xml version="1.0" encoding="utf-8"?>
<ds:datastoreItem xmlns:ds="http://schemas.openxmlformats.org/officeDocument/2006/customXml" ds:itemID="{A80020F6-75DA-4298-9F87-1BB7A32099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80CABEC-9E7F-49CB-8952-79F8004D1C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Skeels, Brittany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2021-12-29T23:28:58Z</cp:lastPrinted>
  <dcterms:created xsi:type="dcterms:W3CDTF">2021-12-10T21:56:31Z</dcterms:created>
  <dcterms:modified xsi:type="dcterms:W3CDTF">2023-08-22T07:16:04Z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