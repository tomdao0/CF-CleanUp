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sccpa0.sharepoint.com/sites/HSC/Shared Documents/HSC Shared Data/2 ShSvc - Support Dept/Pam F-drive/DECEMBER ENG LETTERS/Exported Master Access Files/"/>
    </mc:Choice>
  </mc:AlternateContent>
  <xr:revisionPtr revIDLastSave="244" documentId="8_{9D9C4209-AD42-45DC-914B-A250224DAC6C}" xr6:coauthVersionLast="47" xr6:coauthVersionMax="47" xr10:uidLastSave="{C636F346-64DC-4784-B223-C1E245532B44}"/>
  <bookViews>
    <workbookView xWindow="-120" yWindow="-120" windowWidth="24240" windowHeight="13140" xr2:uid="{63B4CEE1-5F7E-4970-878D-54CEDCF1FD46}"/>
  </bookViews>
  <sheets>
    <sheet name="Strange, Andrea" sheetId="1" r:id="rId1"/>
  </sheets>
  <definedNames>
    <definedName name="_xlnm._FilterDatabase" localSheetId="0" hidden="1">'Strange, Andrea'!$A$1:$Z$21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9C5FC4F3-9633-4AA8-B24B-2E276C6D0F15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296CD114-4097-47EB-8795-F7AA2F313F0D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AE1AF965-60ED-41E3-9C37-4FFE8886844F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2DA878A7-D75C-4571-BA54-008E5ED62595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<sst xmlns="http://schemas.openxmlformats.org/spreadsheetml/2006/main" count="347" uniqueCount="158">
  <si>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</si>
  <si>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</si>
  <si>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</si>
  <si>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</si>
  <si>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</si>
  <si>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</si>
  <si>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</si>
  <si>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</si>
  <si>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</si>
  <si>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</si>
  <si>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</si>
  <si>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</si>
  <si>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</si>
  <si>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</si>
  <si>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</si>
  <si>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</si>
  <si>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</si>
  <si>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</si>
  <si>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</si>
  <si>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</si>
  <si>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</si>
  <si>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</si>
  <si>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</si>
  <si>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</si>
  <si>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</si>
  <si>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</si>
  <si>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100766</t>
  </si>
  <si>
    <t>AES</t>
  </si>
  <si>
    <t>AES Holdings, LLC</t>
  </si>
  <si>
    <t>P.O. Box 36503</t>
  </si>
  <si>
    <t>Louisville</t>
  </si>
  <si>
    <t>Kentucky</t>
  </si>
  <si>
    <t>1065</t>
  </si>
  <si>
    <t>Kentucky and Louisville</t>
  </si>
  <si>
    <t>None</t>
  </si>
  <si>
    <t>Evelyn Strange</t>
  </si>
  <si>
    <t>evelyn@aeslou.com</t>
  </si>
  <si>
    <t>Copy Evelyn on CAL request</t>
  </si>
  <si>
    <t>Book</t>
  </si>
  <si>
    <t>Strange, Andrea</t>
  </si>
  <si>
    <t>100734</t>
  </si>
  <si>
    <t>Advanced Electrical Systems, Inc.</t>
  </si>
  <si>
    <t>1120S</t>
  </si>
  <si>
    <t>Indiana, Kentucky, Louisville, Lexington, and various other Kentucky local returns</t>
  </si>
  <si>
    <t>Review Consolidated</t>
  </si>
  <si>
    <t>GAAP</t>
  </si>
  <si>
    <t>135226</t>
  </si>
  <si>
    <t>AMERICAN ROOFING</t>
  </si>
  <si>
    <t>Stewardship, LLC</t>
  </si>
  <si>
    <t>4610 Roofing Road</t>
  </si>
  <si>
    <t>40218</t>
  </si>
  <si>
    <t>Greg Guilford</t>
  </si>
  <si>
    <t>gguilford@americanroofingonline.com</t>
  </si>
  <si>
    <t>135278</t>
  </si>
  <si>
    <t>ARM Insurance, LLC</t>
  </si>
  <si>
    <t>135225</t>
  </si>
  <si>
    <t>Steinrock Sales Co., Inc.</t>
  </si>
  <si>
    <t>134890</t>
  </si>
  <si>
    <t>APMC</t>
  </si>
  <si>
    <t>APMC Holdings, Inc.</t>
  </si>
  <si>
    <t>965 South Elm Street</t>
  </si>
  <si>
    <t>Scottsburg</t>
  </si>
  <si>
    <t>Indiana</t>
  </si>
  <si>
    <t>1120S-cons</t>
  </si>
  <si>
    <t>Alan Myers</t>
  </si>
  <si>
    <t>alan@apmc.com</t>
  </si>
  <si>
    <t>Lily Coomer</t>
  </si>
  <si>
    <t>lily@apmc.com</t>
  </si>
  <si>
    <t>100622</t>
  </si>
  <si>
    <t>AWWA</t>
  </si>
  <si>
    <t>Kentucky-Tennessee Section of the American Water Works Association</t>
  </si>
  <si>
    <t>3801 Springhurst Boulevard, Suite 201</t>
  </si>
  <si>
    <t>40241</t>
  </si>
  <si>
    <t>Federal only</t>
  </si>
  <si>
    <t>Review</t>
  </si>
  <si>
    <t>Modified Cash</t>
  </si>
  <si>
    <t>Kay Sanborn</t>
  </si>
  <si>
    <t>executivedirector@kytnawwa.org</t>
  </si>
  <si>
    <t>134513</t>
  </si>
  <si>
    <t>CROSSROADS CONTRACT</t>
  </si>
  <si>
    <t>Fields &amp; Ford Properties, LLC</t>
  </si>
  <si>
    <t>1708 Southlake Drive</t>
  </si>
  <si>
    <t>40223</t>
  </si>
  <si>
    <t>Kentucky and Florida</t>
  </si>
  <si>
    <t>Jeff Ford</t>
  </si>
  <si>
    <t>Jeff.ford1@me.com</t>
  </si>
  <si>
    <t>Tax</t>
  </si>
  <si>
    <t>100951</t>
  </si>
  <si>
    <t>EASTSIDE INDIANA</t>
  </si>
  <si>
    <t>Eastside Christian Church of Jeffersonville, IN</t>
  </si>
  <si>
    <t>2319 Veterans Parkway</t>
  </si>
  <si>
    <t>Jeffersonville</t>
  </si>
  <si>
    <t>Pat Coffman</t>
  </si>
  <si>
    <t>coffman@discovereastside.com</t>
  </si>
  <si>
    <t>134991</t>
  </si>
  <si>
    <t>ECT</t>
  </si>
  <si>
    <t>ECT Services, Inc.</t>
  </si>
  <si>
    <t>1501 South Preston Street</t>
  </si>
  <si>
    <t>40217</t>
  </si>
  <si>
    <t>Kentucky, Indiana, Louisville, and various Kentucky local returns</t>
  </si>
  <si>
    <t>Jeff Murphy</t>
  </si>
  <si>
    <t>jmurphy@ectservices.com</t>
  </si>
  <si>
    <t>134349</t>
  </si>
  <si>
    <t>IPP</t>
  </si>
  <si>
    <t>Interfaith Paths to Peace</t>
  </si>
  <si>
    <t>2500 Montgomery Street, Suite 8</t>
  </si>
  <si>
    <t>Cindy Humbert</t>
  </si>
  <si>
    <t>cdhumbert@gmail.com</t>
  </si>
  <si>
    <t>LUCKETT</t>
  </si>
  <si>
    <t>737 South Third Street</t>
  </si>
  <si>
    <t>40202</t>
  </si>
  <si>
    <t>135254</t>
  </si>
  <si>
    <t>Second and Broadway, LLC</t>
  </si>
  <si>
    <t>100887</t>
  </si>
  <si>
    <t>Luckett &amp; Farley Architects Engineers &amp; Const Mgrs, Inc.</t>
  </si>
  <si>
    <t>Alabama, Georgia, Louisiana, North Carolina, New Jersey, New Mexico, Oklahoma, and Tennessee</t>
  </si>
  <si>
    <t>134905</t>
  </si>
  <si>
    <t>Luckett &amp; Farley Holding Co.</t>
  </si>
  <si>
    <t>Alaska, Alabama, Arizona, California, Colorado, Georgia, Iowa, Illinois, Indiana, Kentucky, Louisiana, Maryland, Massachusetts, Mississippi, Missouri, New York, New Mexico, North Carolina, Oklahoma, Oregon, South Carolina, Texas, Utah, Virginia, and Louisville</t>
  </si>
  <si>
    <t>E TABB</t>
  </si>
  <si>
    <t>Black Oak Cabinetry, LLC</t>
  </si>
  <si>
    <t>1330 West Breckinridge Street</t>
  </si>
  <si>
    <t>Israel Snider</t>
  </si>
  <si>
    <t>israel@eastwald.com</t>
  </si>
  <si>
    <t>E. Tabb Design Construction &amp; Development, LLC</t>
  </si>
  <si>
    <t>135315</t>
  </si>
  <si>
    <t>ALLSTATE HEATING</t>
  </si>
  <si>
    <t>Allstate Heating &amp; Cooling, Inc.</t>
  </si>
  <si>
    <t>P.O. Box 11732</t>
  </si>
  <si>
    <t>Lexington</t>
  </si>
  <si>
    <t>Kentucky, Louisville, Bowling Green, Campbellsville, and Taylor County</t>
  </si>
  <si>
    <t>Robbin Callen</t>
  </si>
  <si>
    <t>rcallen@allstatehvacinc.com</t>
  </si>
  <si>
    <t>135096</t>
  </si>
  <si>
    <t>American Roofing &amp; Metal Company, Inc.</t>
  </si>
  <si>
    <t>Kentucky, Indiana, Ohio, Tennessee, and various local Kentucky and Ohio returns</t>
  </si>
  <si>
    <t>135217</t>
  </si>
  <si>
    <t>BIEHLE</t>
  </si>
  <si>
    <t>L E B Investments, LLC</t>
  </si>
  <si>
    <t>4830 West CR 100 South</t>
  </si>
  <si>
    <t>North Vernon</t>
  </si>
  <si>
    <t>47265</t>
  </si>
  <si>
    <t>135218</t>
  </si>
  <si>
    <t>L A B Properties, II</t>
  </si>
  <si>
    <t>Beth Greathouse</t>
  </si>
  <si>
    <t>bethg@aeslou.com</t>
  </si>
  <si>
    <t>Sheila McGinty</t>
  </si>
  <si>
    <t>smcginty@ectservices.com</t>
  </si>
  <si>
    <t>pcastelli@luckett-farley.com</t>
  </si>
  <si>
    <t>Pat Castelli</t>
  </si>
  <si>
    <t>Armazing Real Estate</t>
  </si>
  <si>
    <t>6515 Mint Spring Road</t>
  </si>
  <si>
    <t>Prospect</t>
  </si>
  <si>
    <t>Kentucky, Ohio, and Ohio local</t>
  </si>
  <si>
    <t>Josh Steinrock</t>
  </si>
  <si>
    <t>josh@americanroofingonline.com</t>
  </si>
  <si>
    <t>Ed Biehle</t>
  </si>
  <si>
    <t>ebiehle50@gmail.com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</si>
</sst>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7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2" borderId="5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 wrapText="1"/>
    </xf>
    <xf numFmtId="0" fontId="2" fillId="2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left" wrapText="1"/>
    </xf>
    <xf numFmtId="0" fontId="1" fillId="2" borderId="6" xfId="0" applyFont="1" applyFill="1" applyBorder="1"/>
    <xf numFmtId="0" fontId="1" fillId="2" borderId="7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 wrapText="1"/>
    </xf>
    <xf numFmtId="42" fontId="6" fillId="3" borderId="1" xfId="0" applyNumberFormat="1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left" wrapText="1"/>
    </xf>
    <xf numFmtId="0" fontId="6" fillId="3" borderId="3" xfId="0" applyFont="1" applyFill="1" applyBorder="1" applyAlignment="1">
      <alignment horizontal="left" wrapText="1"/>
    </xf>
    <xf numFmtId="0" fontId="6" fillId="3" borderId="1" xfId="0" applyFont="1" applyFill="1" applyBorder="1" applyAlignment="1">
      <alignment horizontal="left" wrapText="1"/>
    </xf>
    <xf numFmtId="0" fontId="6" fillId="3" borderId="4" xfId="1" applyFont="1" applyFill="1" applyBorder="1" applyAlignment="1"/>
    <xf numFmtId="0" fontId="6" fillId="0" borderId="1" xfId="0" applyFont="1" applyBorder="1" applyAlignment="1">
      <alignment horizontal="left" wrapText="1"/>
    </xf>
    <xf numFmtId="0" fontId="6" fillId="0" borderId="1" xfId="0" applyFont="1" applyBorder="1" applyAlignment="1">
      <alignment horizontal="left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 wrapText="1"/>
    </xf>
    <xf numFmtId="42" fontId="6" fillId="0" borderId="1" xfId="0" applyNumberFormat="1" applyFont="1" applyBorder="1" applyAlignment="1">
      <alignment horizontal="left" wrapText="1"/>
    </xf>
    <xf numFmtId="0" fontId="6" fillId="0" borderId="2" xfId="0" applyFont="1" applyBorder="1" applyAlignment="1">
      <alignment horizontal="left" wrapText="1"/>
    </xf>
    <xf numFmtId="0" fontId="6" fillId="0" borderId="3" xfId="0" applyFont="1" applyBorder="1" applyAlignment="1">
      <alignment horizontal="left" wrapText="1"/>
    </xf>
    <xf numFmtId="0" fontId="6" fillId="0" borderId="4" xfId="1" applyFont="1" applyBorder="1" applyAlignment="1"/>
    <xf numFmtId="0" fontId="6" fillId="0" borderId="1" xfId="0" applyFont="1" applyBorder="1" applyAlignment="1">
      <alignment horizontal="left" vertical="top" wrapText="1"/>
    </xf>
    <xf numFmtId="0" fontId="6" fillId="0" borderId="8" xfId="0" applyFont="1" applyBorder="1"/>
    <xf numFmtId="0" fontId="6" fillId="0" borderId="8" xfId="0" applyFont="1" applyBorder="1" applyAlignment="1">
      <alignment horizontal="center"/>
    </xf>
    <xf numFmtId="0" fontId="6" fillId="0" borderId="8" xfId="0" applyFont="1" applyBorder="1" applyAlignment="1">
      <alignment horizontal="left"/>
    </xf>
    <xf numFmtId="0" fontId="6" fillId="0" borderId="8" xfId="0" applyFont="1" applyBorder="1" applyAlignment="1">
      <alignment wrapText="1"/>
    </xf>
    <xf numFmtId="0" fontId="6" fillId="0" borderId="1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center" wrapText="1"/>
    </xf>
    <xf numFmtId="42" fontId="6" fillId="0" borderId="1" xfId="0" applyNumberFormat="1" applyFont="1" applyFill="1" applyBorder="1" applyAlignment="1">
      <alignment horizontal="left" wrapText="1"/>
    </xf>
    <xf numFmtId="0" fontId="6" fillId="0" borderId="2" xfId="0" applyFont="1" applyFill="1" applyBorder="1" applyAlignment="1">
      <alignment horizontal="left" wrapText="1"/>
    </xf>
    <xf numFmtId="0" fontId="6" fillId="0" borderId="1" xfId="0" applyFont="1" applyFill="1" applyBorder="1" applyAlignment="1">
      <alignment horizontal="left" wrapText="1"/>
    </xf>
    <xf numFmtId="0" fontId="6" fillId="0" borderId="3" xfId="0" applyFont="1" applyFill="1" applyBorder="1" applyAlignment="1">
      <alignment horizontal="left" wrapText="1"/>
    </xf>
    <xf numFmtId="0" fontId="6" fillId="0" borderId="2" xfId="1" applyFont="1" applyFill="1" applyBorder="1" applyAlignment="1"/>
    <xf numFmtId="0" fontId="6" fillId="0" borderId="1" xfId="1" applyFont="1" applyFill="1" applyBorder="1" applyAlignment="1">
      <alignment horizontal="center"/>
    </xf>
    <xf numFmtId="0" fontId="6" fillId="0" borderId="1" xfId="1" applyFont="1" applyFill="1" applyBorder="1" applyAlignment="1"/>
    <xf numFmtId="0" fontId="6" fillId="0" borderId="4" xfId="1" applyFont="1" applyFill="1" applyBorder="1" applyAlignment="1"/>
    <xf numFmtId="0" fontId="6" fillId="0" borderId="8" xfId="0" applyFont="1" applyFill="1" applyBorder="1"/>
    <xf numFmtId="0" fontId="6" fillId="0" borderId="8" xfId="1" applyFont="1" applyFill="1" applyBorder="1"/>
    <xf numFmtId="0" fontId="6" fillId="4" borderId="1" xfId="1" applyFont="1" applyFill="1" applyBorder="1" applyAlignment="1">
      <alignment horizontal="left" vertical="center" wrapText="1"/>
    </xf>
    <xf numFmtId="0" fontId="6" fillId="5" borderId="1" xfId="1" applyFont="1" applyFill="1" applyBorder="1" applyAlignment="1">
      <alignment horizontal="left" vertical="center" wrapText="1"/>
    </xf>
    <xf numFmtId="0" fontId="6" fillId="5" borderId="8" xfId="0" applyFont="1" applyFill="1" applyBorder="1"/>
  </cellXfs>
  <cellStyles count="2">
    <cellStyle name="Hyperlink" xfId="1" builtinId="8"/>
    <cellStyle name="Normal" xfId="0" builtinId="0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9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2" formatCode="_(&quot;$&quot;* #,##0_);_(&quot;$&quot;* \(#,##0\);_(&quot;$&quot;* &quot;-&quot;_);_(@_)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E2DE7E-BEFA-4D5C-85FB-11F000E5BCF5}" name="Table1" displayName="Table1" ref="A1:Z22" totalsRowShown="0" dataDxfId="13" headerRowBorderDxfId="27" tableBorderDxfId="28">
  <sortState xmlns:xlrd2="http://schemas.microsoft.com/office/spreadsheetml/2017/richdata2" ref="A2:Z22">
    <sortCondition ref="B2:B22"/>
  </sortState>
  <tableColumns count="26">
    <tableColumn id="1" xr3:uid="{2AD478A7-7C6E-479D-9284-4EE5A2036DB7}" name="Client #" dataDxfId="11"/>
    <tableColumn id="2" xr3:uid="{85B1D949-89D7-44BB-A4B6-8E6905539B5A}" name="Client Group" dataDxfId="12"/>
    <tableColumn id="3" xr3:uid="{4C5E0BA7-9F0D-4296-B85E-5F81F6611318}" name="Client Name" dataDxfId="26"/>
    <tableColumn id="4" xr3:uid="{C5F97F75-58A0-499E-A890-8A609D3913E9}" name="Address" dataDxfId="25"/>
    <tableColumn id="5" xr3:uid="{319BC16C-8CE2-4B68-8D47-22C3B2D6C827}" name="City" dataDxfId="24"/>
    <tableColumn id="6" xr3:uid="{9E2EE0F3-9F45-4438-9188-F60BF233E03E}" name="State" dataDxfId="23"/>
    <tableColumn id="7" xr3:uid="{CA544800-2672-4F46-9A3E-7590FA64027C}" name="ZipCode" dataDxfId="22"/>
    <tableColumn id="8" xr3:uid="{6C454B69-79A2-467B-B1C5-3EB0F9D5DC45}" name="Year End" dataDxfId="21"/>
    <tableColumn id="9" xr3:uid="{5807D939-0F95-495A-B108-FD9E3CE0E0CA}" name="Eng Ltr Fees if Inlcluded" dataDxfId="20"/>
    <tableColumn id="10" xr3:uid="{1B8F29E4-B9CC-47C3-AC11-684B457C4015}" name="Tax Eng Ltr Type" dataDxfId="19"/>
    <tableColumn id="11" xr3:uid="{493786A4-7D90-4E1B-8F33-1BF6949CB2CB}" name="States/Localities" dataDxfId="18"/>
    <tableColumn id="12" xr3:uid="{82430B46-D683-4C39-9F51-887ABE9550FF}" name="Changes in States/Localities" dataDxfId="17"/>
    <tableColumn id="13" xr3:uid="{B22FD111-5C39-4EE5-BEDC-2825B7AC0FB4}" name="AA Eng Ltr Type" dataDxfId="16"/>
    <tableColumn id="14" xr3:uid="{027121F8-A9AB-4AF0-82D3-F36A19AE7EF0}" name="AA Financial Framework (FF)" dataDxfId="15"/>
    <tableColumn id="15" xr3:uid="{A141D1F0-7A95-45B2-BBEB-427CF7500FCA}" name="AA Departure from FF?" dataDxfId="14"/>
    <tableColumn id="16" xr3:uid="{A7828236-C390-4811-BACF-5DA38B534C40}" name="AA Not Independent?" dataDxfId="10"/>
    <tableColumn id="17" xr3:uid="{AB13A791-859E-4D0B-A485-3D1B0CFFE306}" name="Eng Ltr Contact" dataDxfId="9"/>
    <tableColumn id="18" xr3:uid="{4D4A61E7-FA57-4EE4-9FCD-060685DFE3F7}" name="Eng Ltr Contact Email" dataDxfId="8"/>
    <tableColumn id="19" xr3:uid="{876C64A7-91BA-42D2-B62C-F65B4497E6B2}" name="OS Client" dataDxfId="7" dataCellStyle="Hyperlink"/>
    <tableColumn id="20" xr3:uid="{1DD4E4A7-65B9-4237-AB95-D0F41DB44A8F}" name="CAL Contact" dataDxfId="6"/>
    <tableColumn id="21" xr3:uid="{9C161B14-326A-4860-BFFA-71438B8C4E11}" name="CAL Contact Email" dataDxfId="5"/>
    <tableColumn id="22" xr3:uid="{75FFB0F4-3470-4E73-B925-E685FDE49504}" name="CAL Contact 2" dataDxfId="4" dataCellStyle="Hyperlink"/>
    <tableColumn id="23" xr3:uid="{6C33D76F-CC31-403B-B028-0D458EF978B8}" name="CAL Contact Email 2" dataDxfId="3" dataCellStyle="Hyperlink"/>
    <tableColumn id="24" xr3:uid="{2EA018CF-A781-40E9-93FE-0489977C854C}" name="Depreciation Schedule Sent w/ CAL?" dataDxfId="2"/>
    <tableColumn id="25" xr3:uid="{89E889EA-403F-42FD-9B3A-882F27BF44A7}" name="Other Comments, Changes, etc." dataDxfId="0" dataCellStyle="Hyperlink"/>
    <tableColumn id="26" xr3:uid="{1B200AA8-B27C-4E0A-B422-8252F46B8DE5}" name="Primary" dataDxfId="1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biehle50@gmail.com" TargetMode="External"/><Relationship Id="rId13" Type="http://schemas.openxmlformats.org/officeDocument/2006/relationships/table" Target="../tables/table1.xml"/><Relationship Id="rId3" Type="http://schemas.openxmlformats.org/officeDocument/2006/relationships/hyperlink" Target="mailto:bethg@aeslou.com" TargetMode="External"/><Relationship Id="rId7" Type="http://schemas.openxmlformats.org/officeDocument/2006/relationships/hyperlink" Target="mailto:ebiehle50@gmail.com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mailto:coffman@discovereastside.com" TargetMode="External"/><Relationship Id="rId1" Type="http://schemas.openxmlformats.org/officeDocument/2006/relationships/hyperlink" Target="mailto:smcginty@ectservices.com" TargetMode="External"/><Relationship Id="rId6" Type="http://schemas.openxmlformats.org/officeDocument/2006/relationships/hyperlink" Target="mailto:josh@americanroofingonline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josh@americanroofingonline.com" TargetMode="External"/><Relationship Id="rId10" Type="http://schemas.openxmlformats.org/officeDocument/2006/relationships/hyperlink" Target="mailto:ebiehle50@gmail.com" TargetMode="External"/><Relationship Id="rId4" Type="http://schemas.openxmlformats.org/officeDocument/2006/relationships/hyperlink" Target="mailto:bethg@aeslou.com" TargetMode="External"/><Relationship Id="rId9" Type="http://schemas.openxmlformats.org/officeDocument/2006/relationships/hyperlink" Target="mailto:ebiehle50@gmail.com" TargetMode="Externa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3418-B7FB-49EB-9D01-0DA23C9B7F6C}">
  <sheetPr codeName="Sheet1"/>
  <dimension ref="A1:Z27"/>
  <sheetViews>
    <sheetView tabSelected="1" workbookViewId="0"/>
  </sheetViews>
  <sheetFormatPr defaultColWidth="23.28515625" defaultRowHeight="15" x14ac:dyDescent="0.25"/>
  <cols>
    <col min="1" max="1" width="8.5703125" customWidth="1"/>
    <col min="2" max="2" width="15.85546875" bestFit="1" customWidth="1"/>
    <col min="3" max="3" width="50" customWidth="1"/>
    <col min="4" max="4" width="28" bestFit="1" customWidth="1"/>
    <col min="5" max="5" width="10.140625" bestFit="1" customWidth="1"/>
    <col min="6" max="6" width="8" bestFit="1" customWidth="1"/>
    <col min="7" max="7" width="10.5703125" customWidth="1"/>
    <col min="8" max="8" width="8.140625" style="1" customWidth="1"/>
    <col min="9" max="9" width="15.5703125" customWidth="1"/>
    <col min="10" max="10" width="11.28515625" customWidth="1"/>
    <col min="11" max="11" width="20.85546875" customWidth="1"/>
    <col min="12" max="12" width="25.28515625" customWidth="1"/>
    <col min="13" max="13" width="17.7109375" customWidth="1"/>
    <col min="14" max="14" width="21.85546875" customWidth="1"/>
    <col min="15" max="15" width="17.28515625" customWidth="1"/>
    <col min="16" max="16" width="20.7109375" customWidth="1"/>
    <col min="17" max="17" width="17.28515625" bestFit="1" customWidth="1"/>
    <col min="18" max="18" width="27.28515625" bestFit="1" customWidth="1"/>
    <col min="19" max="19" width="11.7109375" customWidth="1"/>
    <col min="20" max="20" width="15.28515625" bestFit="1" customWidth="1"/>
    <col min="21" max="21" width="26.5703125" bestFit="1" customWidth="1"/>
    <col min="22" max="22" width="20.85546875" bestFit="1" customWidth="1"/>
    <col min="23" max="23" width="19.7109375" bestFit="1" customWidth="1"/>
    <col min="24" max="24" width="23.5703125" customWidth="1"/>
    <col min="25" max="25" width="31.7109375" customWidth="1"/>
    <col min="26" max="26" width="12.140625" bestFit="1" customWidth="1"/>
  </cols>
  <sheetData>
    <row r="1" spans="1:26" ht="39" x14ac:dyDescent="0.25">
      <c r="A1" s="4" t="s">
        <v>0</v>
      </c>
      <c r="B1" s="5" t="s">
        <v>1</v>
      </c>
      <c r="C1" s="5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8" t="s">
        <v>7</v>
      </c>
      <c r="I1" s="8" t="s">
        <v>8</v>
      </c>
      <c r="J1" s="9" t="s">
        <v>9</v>
      </c>
      <c r="K1" s="7" t="s">
        <v>10</v>
      </c>
      <c r="L1" s="7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10" t="s">
        <v>16</v>
      </c>
      <c r="R1" s="7" t="s">
        <v>17</v>
      </c>
      <c r="S1" s="7" t="s">
        <v>18</v>
      </c>
      <c r="T1" s="5" t="s">
        <v>19</v>
      </c>
      <c r="U1" s="11" t="s">
        <v>20</v>
      </c>
      <c r="V1" s="5" t="s">
        <v>21</v>
      </c>
      <c r="W1" s="11" t="s">
        <v>22</v>
      </c>
      <c r="X1" s="9" t="s">
        <v>23</v>
      </c>
      <c r="Y1" s="9" t="s">
        <v>24</v>
      </c>
      <c r="Z1" s="12" t="s">
        <v>25</v>
      </c>
    </row>
    <row r="2" spans="1:26" x14ac:dyDescent="0.25">
      <c r="A2" s="34" t="s">
        <v>26</v>
      </c>
      <c r="B2" s="13" t="s">
        <v>27</v>
      </c>
      <c r="C2" s="13" t="s">
        <v>28</v>
      </c>
      <c r="D2" s="13" t="s">
        <v>29</v>
      </c>
      <c r="E2" s="13" t="s">
        <v>30</v>
      </c>
      <c r="F2" s="13" t="s">
        <v>31</v>
      </c>
      <c r="G2" s="14">
        <v>40233</v>
      </c>
      <c r="H2" s="15">
        <v>12</v>
      </c>
      <c r="I2" s="16"/>
      <c r="J2" s="17" t="s">
        <v>32</v>
      </c>
      <c r="K2" s="19" t="s">
        <v>33</v>
      </c>
      <c r="L2" s="18"/>
      <c r="M2" s="13" t="s">
        <v>34</v>
      </c>
      <c r="N2" s="13"/>
      <c r="O2" s="19"/>
      <c r="P2" s="14"/>
      <c r="Q2" s="36" t="s">
        <v>35</v>
      </c>
      <c r="R2" s="42" t="s">
        <v>36</v>
      </c>
      <c r="S2" s="43"/>
      <c r="T2" s="36" t="s">
        <v>144</v>
      </c>
      <c r="U2" s="44" t="s">
        <v>145</v>
      </c>
      <c r="V2" s="44" t="s">
        <v>37</v>
      </c>
      <c r="W2" s="44" t="s">
        <v>36</v>
      </c>
      <c r="X2" s="14" t="s">
        <v>38</v>
      </c>
      <c r="Y2" s="48"/>
      <c r="Z2" s="20" t="s">
        <v>39</v>
      </c>
    </row>
    <row r="3" spans="1:26" ht="43.5" x14ac:dyDescent="0.25">
      <c r="A3" s="34" t="s">
        <v>40</v>
      </c>
      <c r="B3" s="22" t="s">
        <v>27</v>
      </c>
      <c r="C3" s="22" t="s">
        <v>41</v>
      </c>
      <c r="D3" s="22" t="s">
        <v>29</v>
      </c>
      <c r="E3" s="22" t="s">
        <v>30</v>
      </c>
      <c r="F3" s="22" t="s">
        <v>31</v>
      </c>
      <c r="G3" s="23">
        <v>40233</v>
      </c>
      <c r="H3" s="24">
        <v>12</v>
      </c>
      <c r="I3" s="25"/>
      <c r="J3" s="26" t="s">
        <v>42</v>
      </c>
      <c r="K3" s="21" t="s">
        <v>43</v>
      </c>
      <c r="L3" s="27"/>
      <c r="M3" s="22" t="s">
        <v>44</v>
      </c>
      <c r="N3" s="22" t="s">
        <v>45</v>
      </c>
      <c r="O3" s="21"/>
      <c r="P3" s="23"/>
      <c r="Q3" s="36" t="s">
        <v>35</v>
      </c>
      <c r="R3" s="42" t="s">
        <v>36</v>
      </c>
      <c r="S3" s="43"/>
      <c r="T3" s="36" t="s">
        <v>144</v>
      </c>
      <c r="U3" s="44" t="s">
        <v>145</v>
      </c>
      <c r="V3" s="44" t="s">
        <v>37</v>
      </c>
      <c r="W3" s="44" t="s">
        <v>36</v>
      </c>
      <c r="X3" s="23" t="s">
        <v>38</v>
      </c>
      <c r="Y3" s="49"/>
      <c r="Z3" s="28" t="s">
        <v>39</v>
      </c>
    </row>
    <row r="4" spans="1:26" ht="33" x14ac:dyDescent="0.25">
      <c r="A4" s="34" t="s">
        <v>125</v>
      </c>
      <c r="B4" s="22" t="s">
        <v>126</v>
      </c>
      <c r="C4" s="22" t="s">
        <v>127</v>
      </c>
      <c r="D4" s="22" t="s">
        <v>128</v>
      </c>
      <c r="E4" s="22" t="s">
        <v>129</v>
      </c>
      <c r="F4" s="22" t="s">
        <v>31</v>
      </c>
      <c r="G4" s="23">
        <v>40577</v>
      </c>
      <c r="H4" s="24">
        <v>12</v>
      </c>
      <c r="I4" s="25"/>
      <c r="J4" s="26" t="s">
        <v>42</v>
      </c>
      <c r="K4" s="21" t="s">
        <v>130</v>
      </c>
      <c r="L4" s="27"/>
      <c r="M4" s="22" t="s">
        <v>74</v>
      </c>
      <c r="N4" s="22" t="s">
        <v>45</v>
      </c>
      <c r="O4" s="21"/>
      <c r="P4" s="23"/>
      <c r="Q4" s="36" t="s">
        <v>131</v>
      </c>
      <c r="R4" s="42" t="s">
        <v>132</v>
      </c>
      <c r="S4" s="34"/>
      <c r="T4" s="36" t="s">
        <v>131</v>
      </c>
      <c r="U4" s="44" t="s">
        <v>132</v>
      </c>
      <c r="V4" s="44"/>
      <c r="W4" s="44"/>
      <c r="X4" s="23" t="s">
        <v>34</v>
      </c>
      <c r="Y4" s="49"/>
      <c r="Z4" s="28" t="s">
        <v>39</v>
      </c>
    </row>
    <row r="5" spans="1:26" s="2" customFormat="1" x14ac:dyDescent="0.25">
      <c r="A5" s="34" t="s">
        <v>46</v>
      </c>
      <c r="B5" s="36" t="s">
        <v>47</v>
      </c>
      <c r="C5" s="36" t="s">
        <v>48</v>
      </c>
      <c r="D5" s="36" t="s">
        <v>49</v>
      </c>
      <c r="E5" s="36" t="s">
        <v>30</v>
      </c>
      <c r="F5" s="36" t="s">
        <v>31</v>
      </c>
      <c r="G5" s="34" t="s">
        <v>50</v>
      </c>
      <c r="H5" s="37">
        <v>12</v>
      </c>
      <c r="I5" s="38"/>
      <c r="J5" s="39" t="s">
        <v>32</v>
      </c>
      <c r="K5" s="40" t="s">
        <v>33</v>
      </c>
      <c r="L5" s="41"/>
      <c r="M5" s="36" t="s">
        <v>34</v>
      </c>
      <c r="N5" s="36"/>
      <c r="O5" s="40"/>
      <c r="P5" s="34"/>
      <c r="Q5" s="36" t="s">
        <v>51</v>
      </c>
      <c r="R5" s="42" t="s">
        <v>52</v>
      </c>
      <c r="S5" s="43"/>
      <c r="T5" s="36" t="s">
        <v>51</v>
      </c>
      <c r="U5" s="44" t="s">
        <v>52</v>
      </c>
      <c r="V5" s="44"/>
      <c r="W5" s="44"/>
      <c r="X5" s="34" t="s">
        <v>34</v>
      </c>
      <c r="Y5" s="49"/>
      <c r="Z5" s="45" t="s">
        <v>39</v>
      </c>
    </row>
    <row r="6" spans="1:26" x14ac:dyDescent="0.25">
      <c r="A6" s="34" t="s">
        <v>53</v>
      </c>
      <c r="B6" s="21" t="s">
        <v>47</v>
      </c>
      <c r="C6" s="22" t="s">
        <v>54</v>
      </c>
      <c r="D6" s="22" t="s">
        <v>49</v>
      </c>
      <c r="E6" s="22" t="s">
        <v>30</v>
      </c>
      <c r="F6" s="22" t="s">
        <v>31</v>
      </c>
      <c r="G6" s="23" t="s">
        <v>50</v>
      </c>
      <c r="H6" s="24">
        <v>12</v>
      </c>
      <c r="I6" s="25"/>
      <c r="J6" s="26" t="s">
        <v>32</v>
      </c>
      <c r="K6" s="21" t="s">
        <v>33</v>
      </c>
      <c r="L6" s="27"/>
      <c r="M6" s="22" t="s">
        <v>34</v>
      </c>
      <c r="N6" s="22"/>
      <c r="O6" s="21"/>
      <c r="P6" s="23"/>
      <c r="Q6" s="36" t="s">
        <v>51</v>
      </c>
      <c r="R6" s="42" t="s">
        <v>52</v>
      </c>
      <c r="S6" s="43"/>
      <c r="T6" s="36" t="s">
        <v>51</v>
      </c>
      <c r="U6" s="42" t="s">
        <v>52</v>
      </c>
      <c r="V6" s="44"/>
      <c r="W6" s="44"/>
      <c r="X6" s="23" t="s">
        <v>34</v>
      </c>
      <c r="Y6" s="49"/>
      <c r="Z6" s="28" t="s">
        <v>39</v>
      </c>
    </row>
    <row r="7" spans="1:26" s="2" customFormat="1" x14ac:dyDescent="0.25">
      <c r="A7" s="34" t="s">
        <v>55</v>
      </c>
      <c r="B7" s="36" t="s">
        <v>47</v>
      </c>
      <c r="C7" s="36" t="s">
        <v>56</v>
      </c>
      <c r="D7" s="36" t="s">
        <v>49</v>
      </c>
      <c r="E7" s="36" t="s">
        <v>30</v>
      </c>
      <c r="F7" s="36" t="s">
        <v>31</v>
      </c>
      <c r="G7" s="34" t="s">
        <v>50</v>
      </c>
      <c r="H7" s="37">
        <v>12</v>
      </c>
      <c r="I7" s="38"/>
      <c r="J7" s="39" t="s">
        <v>42</v>
      </c>
      <c r="K7" s="40" t="s">
        <v>33</v>
      </c>
      <c r="L7" s="41"/>
      <c r="M7" s="36" t="s">
        <v>34</v>
      </c>
      <c r="N7" s="36"/>
      <c r="O7" s="40"/>
      <c r="P7" s="34"/>
      <c r="Q7" s="36" t="s">
        <v>51</v>
      </c>
      <c r="R7" s="42" t="s">
        <v>52</v>
      </c>
      <c r="S7" s="43"/>
      <c r="T7" s="36" t="s">
        <v>51</v>
      </c>
      <c r="U7" s="42" t="s">
        <v>52</v>
      </c>
      <c r="V7" s="44"/>
      <c r="W7" s="44"/>
      <c r="X7" s="34" t="s">
        <v>34</v>
      </c>
      <c r="Y7" s="49"/>
      <c r="Z7" s="45" t="s">
        <v>39</v>
      </c>
    </row>
    <row r="8" spans="1:26" ht="43.5" x14ac:dyDescent="0.25">
      <c r="A8" s="34" t="s">
        <v>133</v>
      </c>
      <c r="B8" s="19" t="s">
        <v>47</v>
      </c>
      <c r="C8" s="13" t="s">
        <v>134</v>
      </c>
      <c r="D8" s="13" t="s">
        <v>49</v>
      </c>
      <c r="E8" s="13" t="s">
        <v>30</v>
      </c>
      <c r="F8" s="13" t="s">
        <v>31</v>
      </c>
      <c r="G8" s="14" t="s">
        <v>50</v>
      </c>
      <c r="H8" s="15">
        <v>12</v>
      </c>
      <c r="I8" s="16"/>
      <c r="J8" s="17" t="s">
        <v>42</v>
      </c>
      <c r="K8" s="19" t="s">
        <v>135</v>
      </c>
      <c r="L8" s="18"/>
      <c r="M8" s="13" t="s">
        <v>74</v>
      </c>
      <c r="N8" s="13" t="s">
        <v>45</v>
      </c>
      <c r="O8" s="19"/>
      <c r="P8" s="14"/>
      <c r="Q8" s="36" t="s">
        <v>51</v>
      </c>
      <c r="R8" s="42" t="s">
        <v>52</v>
      </c>
      <c r="S8" s="34"/>
      <c r="T8" s="36" t="s">
        <v>51</v>
      </c>
      <c r="U8" s="44" t="s">
        <v>52</v>
      </c>
      <c r="V8" s="44"/>
      <c r="W8" s="44"/>
      <c r="X8" s="14" t="s">
        <v>34</v>
      </c>
      <c r="Y8" s="48"/>
      <c r="Z8" s="20" t="s">
        <v>39</v>
      </c>
    </row>
    <row r="9" spans="1:26" x14ac:dyDescent="0.25">
      <c r="A9" s="34" t="s">
        <v>57</v>
      </c>
      <c r="B9" s="22" t="s">
        <v>58</v>
      </c>
      <c r="C9" s="22" t="s">
        <v>59</v>
      </c>
      <c r="D9" s="22" t="s">
        <v>60</v>
      </c>
      <c r="E9" s="22" t="s">
        <v>61</v>
      </c>
      <c r="F9" s="22" t="s">
        <v>62</v>
      </c>
      <c r="G9" s="23">
        <v>47170</v>
      </c>
      <c r="H9" s="24">
        <v>12</v>
      </c>
      <c r="I9" s="25"/>
      <c r="J9" s="26" t="s">
        <v>63</v>
      </c>
      <c r="K9" s="21" t="s">
        <v>62</v>
      </c>
      <c r="L9" s="27"/>
      <c r="M9" s="22" t="s">
        <v>34</v>
      </c>
      <c r="N9" s="22"/>
      <c r="O9" s="21"/>
      <c r="P9" s="23"/>
      <c r="Q9" s="36" t="s">
        <v>64</v>
      </c>
      <c r="R9" s="42" t="s">
        <v>65</v>
      </c>
      <c r="S9" s="43"/>
      <c r="T9" s="36" t="s">
        <v>66</v>
      </c>
      <c r="U9" s="44" t="s">
        <v>67</v>
      </c>
      <c r="V9" s="44"/>
      <c r="W9" s="44"/>
      <c r="X9" s="23" t="s">
        <v>34</v>
      </c>
      <c r="Y9" s="49"/>
      <c r="Z9" s="28" t="s">
        <v>39</v>
      </c>
    </row>
    <row r="10" spans="1:26" x14ac:dyDescent="0.25">
      <c r="A10" s="34" t="s">
        <v>68</v>
      </c>
      <c r="B10" s="13" t="s">
        <v>69</v>
      </c>
      <c r="C10" s="13" t="s">
        <v>70</v>
      </c>
      <c r="D10" s="13" t="s">
        <v>71</v>
      </c>
      <c r="E10" s="13" t="s">
        <v>30</v>
      </c>
      <c r="F10" s="13" t="s">
        <v>31</v>
      </c>
      <c r="G10" s="14" t="s">
        <v>72</v>
      </c>
      <c r="H10" s="15">
        <v>12</v>
      </c>
      <c r="I10" s="16"/>
      <c r="J10" s="17">
        <v>990</v>
      </c>
      <c r="K10" s="13" t="s">
        <v>73</v>
      </c>
      <c r="L10" s="18"/>
      <c r="M10" s="13" t="s">
        <v>74</v>
      </c>
      <c r="N10" s="13" t="s">
        <v>75</v>
      </c>
      <c r="O10" s="19"/>
      <c r="P10" s="14"/>
      <c r="Q10" s="36" t="s">
        <v>76</v>
      </c>
      <c r="R10" s="42" t="s">
        <v>77</v>
      </c>
      <c r="S10" s="43"/>
      <c r="T10" s="36" t="s">
        <v>76</v>
      </c>
      <c r="U10" s="44" t="s">
        <v>77</v>
      </c>
      <c r="V10" s="44"/>
      <c r="W10" s="44"/>
      <c r="X10" s="14" t="s">
        <v>34</v>
      </c>
      <c r="Y10" s="48"/>
      <c r="Z10" s="20" t="s">
        <v>39</v>
      </c>
    </row>
    <row r="11" spans="1:26" ht="43.5" x14ac:dyDescent="0.25">
      <c r="A11" s="34" t="s">
        <v>136</v>
      </c>
      <c r="B11" s="21" t="s">
        <v>137</v>
      </c>
      <c r="C11" s="22" t="s">
        <v>138</v>
      </c>
      <c r="D11" s="22" t="s">
        <v>139</v>
      </c>
      <c r="E11" s="22" t="s">
        <v>140</v>
      </c>
      <c r="F11" s="22" t="s">
        <v>62</v>
      </c>
      <c r="G11" s="23" t="s">
        <v>141</v>
      </c>
      <c r="H11" s="24">
        <v>12</v>
      </c>
      <c r="I11" s="25"/>
      <c r="J11" s="26" t="s">
        <v>32</v>
      </c>
      <c r="K11" s="21" t="s">
        <v>62</v>
      </c>
      <c r="L11" s="27"/>
      <c r="M11" s="22" t="s">
        <v>34</v>
      </c>
      <c r="N11" s="22"/>
      <c r="O11" s="21"/>
      <c r="P11" s="23"/>
      <c r="Q11" s="36" t="s">
        <v>156</v>
      </c>
      <c r="R11" s="42" t="s">
        <v>157</v>
      </c>
      <c r="S11" s="34"/>
      <c r="T11" s="36" t="s">
        <v>156</v>
      </c>
      <c r="U11" s="44" t="s">
        <v>157</v>
      </c>
      <c r="V11" s="44"/>
      <c r="W11" s="44"/>
      <c r="X11" s="23" t="s">
        <v>34</v>
      </c>
      <c r="Y11" s="49"/>
      <c r="Z11" s="28" t="s">
        <v>39</v>
      </c>
    </row>
    <row r="12" spans="1:26" ht="14.25" customHeight="1" x14ac:dyDescent="0.25">
      <c r="A12" s="34" t="s">
        <v>142</v>
      </c>
      <c r="B12" s="19" t="s">
        <v>137</v>
      </c>
      <c r="C12" s="13" t="s">
        <v>143</v>
      </c>
      <c r="D12" s="13" t="s">
        <v>139</v>
      </c>
      <c r="E12" s="13" t="s">
        <v>140</v>
      </c>
      <c r="F12" s="13" t="s">
        <v>62</v>
      </c>
      <c r="G12" s="14" t="s">
        <v>141</v>
      </c>
      <c r="H12" s="15">
        <v>12</v>
      </c>
      <c r="I12" s="16"/>
      <c r="J12" s="17" t="s">
        <v>32</v>
      </c>
      <c r="K12" s="19" t="s">
        <v>62</v>
      </c>
      <c r="L12" s="18"/>
      <c r="M12" s="13" t="s">
        <v>34</v>
      </c>
      <c r="N12" s="13"/>
      <c r="O12" s="19"/>
      <c r="P12" s="14"/>
      <c r="Q12" s="36" t="s">
        <v>156</v>
      </c>
      <c r="R12" s="42" t="s">
        <v>157</v>
      </c>
      <c r="S12" s="34"/>
      <c r="T12" s="36" t="s">
        <v>156</v>
      </c>
      <c r="U12" s="44" t="s">
        <v>157</v>
      </c>
      <c r="V12" s="44"/>
      <c r="W12" s="44"/>
      <c r="X12" s="14" t="s">
        <v>34</v>
      </c>
      <c r="Y12" s="48"/>
      <c r="Z12" s="20" t="s">
        <v>39</v>
      </c>
    </row>
    <row r="13" spans="1:26" ht="26.25" customHeight="1" x14ac:dyDescent="0.25">
      <c r="A13" s="34" t="s">
        <v>78</v>
      </c>
      <c r="B13" s="29" t="s">
        <v>79</v>
      </c>
      <c r="C13" s="22" t="s">
        <v>80</v>
      </c>
      <c r="D13" s="22" t="s">
        <v>81</v>
      </c>
      <c r="E13" s="22" t="s">
        <v>30</v>
      </c>
      <c r="F13" s="22" t="s">
        <v>31</v>
      </c>
      <c r="G13" s="23" t="s">
        <v>82</v>
      </c>
      <c r="H13" s="24">
        <v>12</v>
      </c>
      <c r="I13" s="25"/>
      <c r="J13" s="26" t="s">
        <v>32</v>
      </c>
      <c r="K13" s="21" t="s">
        <v>83</v>
      </c>
      <c r="L13" s="27"/>
      <c r="M13" s="22" t="s">
        <v>34</v>
      </c>
      <c r="N13" s="22"/>
      <c r="O13" s="21"/>
      <c r="P13" s="23"/>
      <c r="Q13" s="36" t="s">
        <v>84</v>
      </c>
      <c r="R13" s="42" t="s">
        <v>85</v>
      </c>
      <c r="S13" s="43"/>
      <c r="T13" s="36" t="s">
        <v>84</v>
      </c>
      <c r="U13" s="44" t="s">
        <v>85</v>
      </c>
      <c r="V13" s="44"/>
      <c r="W13" s="44"/>
      <c r="X13" s="23" t="s">
        <v>86</v>
      </c>
      <c r="Y13" s="49"/>
      <c r="Z13" s="28" t="s">
        <v>39</v>
      </c>
    </row>
    <row r="14" spans="1:26" ht="14.25" customHeight="1" x14ac:dyDescent="0.25">
      <c r="A14" s="34">
        <v>135570</v>
      </c>
      <c r="B14" s="21" t="s">
        <v>119</v>
      </c>
      <c r="C14" s="22" t="s">
        <v>120</v>
      </c>
      <c r="D14" s="22" t="s">
        <v>121</v>
      </c>
      <c r="E14" s="22" t="s">
        <v>30</v>
      </c>
      <c r="F14" s="22" t="s">
        <v>31</v>
      </c>
      <c r="G14" s="23">
        <v>40210</v>
      </c>
      <c r="H14" s="24">
        <v>12</v>
      </c>
      <c r="I14" s="25"/>
      <c r="J14" s="26">
        <v>1065</v>
      </c>
      <c r="K14" s="21" t="s">
        <v>33</v>
      </c>
      <c r="L14" s="27"/>
      <c r="M14" s="22" t="s">
        <v>34</v>
      </c>
      <c r="N14" s="22"/>
      <c r="O14" s="21"/>
      <c r="P14" s="23"/>
      <c r="Q14" s="36" t="s">
        <v>122</v>
      </c>
      <c r="R14" s="42" t="s">
        <v>123</v>
      </c>
      <c r="S14" s="43"/>
      <c r="T14" s="36" t="s">
        <v>122</v>
      </c>
      <c r="U14" s="44" t="s">
        <v>123</v>
      </c>
      <c r="V14" s="44"/>
      <c r="W14" s="44"/>
      <c r="X14" s="23" t="s">
        <v>34</v>
      </c>
      <c r="Y14" s="49"/>
      <c r="Z14" s="28" t="s">
        <v>39</v>
      </c>
    </row>
    <row r="15" spans="1:26" s="2" customFormat="1" x14ac:dyDescent="0.25">
      <c r="A15" s="34">
        <v>135571</v>
      </c>
      <c r="B15" s="40" t="s">
        <v>119</v>
      </c>
      <c r="C15" s="36" t="s">
        <v>124</v>
      </c>
      <c r="D15" s="36" t="s">
        <v>121</v>
      </c>
      <c r="E15" s="36" t="s">
        <v>30</v>
      </c>
      <c r="F15" s="36" t="s">
        <v>31</v>
      </c>
      <c r="G15" s="34">
        <v>40210</v>
      </c>
      <c r="H15" s="37">
        <v>12</v>
      </c>
      <c r="I15" s="38"/>
      <c r="J15" s="39" t="s">
        <v>42</v>
      </c>
      <c r="K15" s="40" t="s">
        <v>33</v>
      </c>
      <c r="L15" s="41"/>
      <c r="M15" s="36" t="s">
        <v>34</v>
      </c>
      <c r="N15" s="36"/>
      <c r="O15" s="40"/>
      <c r="P15" s="34"/>
      <c r="Q15" s="36" t="s">
        <v>122</v>
      </c>
      <c r="R15" s="42" t="s">
        <v>123</v>
      </c>
      <c r="S15" s="43"/>
      <c r="T15" s="36" t="s">
        <v>122</v>
      </c>
      <c r="U15" s="44" t="s">
        <v>123</v>
      </c>
      <c r="V15" s="44"/>
      <c r="W15" s="44"/>
      <c r="X15" s="34" t="s">
        <v>34</v>
      </c>
      <c r="Y15" s="49"/>
      <c r="Z15" s="45" t="s">
        <v>39</v>
      </c>
    </row>
    <row r="16" spans="1:26" ht="33" x14ac:dyDescent="0.25">
      <c r="A16" s="34" t="s">
        <v>87</v>
      </c>
      <c r="B16" s="13" t="s">
        <v>88</v>
      </c>
      <c r="C16" s="13" t="s">
        <v>89</v>
      </c>
      <c r="D16" s="13" t="s">
        <v>90</v>
      </c>
      <c r="E16" s="13" t="s">
        <v>91</v>
      </c>
      <c r="F16" s="13" t="s">
        <v>62</v>
      </c>
      <c r="G16" s="14">
        <v>47130</v>
      </c>
      <c r="H16" s="15">
        <v>12</v>
      </c>
      <c r="I16" s="16"/>
      <c r="J16" s="17"/>
      <c r="K16" s="19"/>
      <c r="L16" s="18"/>
      <c r="M16" s="13" t="s">
        <v>74</v>
      </c>
      <c r="N16" s="13" t="s">
        <v>75</v>
      </c>
      <c r="O16" s="19"/>
      <c r="P16" s="14"/>
      <c r="Q16" s="36" t="s">
        <v>92</v>
      </c>
      <c r="R16" s="42" t="s">
        <v>93</v>
      </c>
      <c r="S16" s="43"/>
      <c r="T16" s="36"/>
      <c r="U16" s="44"/>
      <c r="V16" s="44"/>
      <c r="W16" s="44"/>
      <c r="X16" s="14" t="s">
        <v>34</v>
      </c>
      <c r="Y16" s="48"/>
      <c r="Z16" s="20" t="s">
        <v>39</v>
      </c>
    </row>
    <row r="17" spans="1:26" ht="43.5" x14ac:dyDescent="0.25">
      <c r="A17" s="34" t="s">
        <v>94</v>
      </c>
      <c r="B17" s="21" t="s">
        <v>95</v>
      </c>
      <c r="C17" s="22" t="s">
        <v>96</v>
      </c>
      <c r="D17" s="22" t="s">
        <v>97</v>
      </c>
      <c r="E17" s="22" t="s">
        <v>30</v>
      </c>
      <c r="F17" s="22" t="s">
        <v>31</v>
      </c>
      <c r="G17" s="23" t="s">
        <v>98</v>
      </c>
      <c r="H17" s="24">
        <v>12</v>
      </c>
      <c r="I17" s="25"/>
      <c r="J17" s="26" t="s">
        <v>42</v>
      </c>
      <c r="K17" s="21" t="s">
        <v>99</v>
      </c>
      <c r="L17" s="27"/>
      <c r="M17" s="22" t="s">
        <v>74</v>
      </c>
      <c r="N17" s="22" t="s">
        <v>45</v>
      </c>
      <c r="O17" s="21"/>
      <c r="P17" s="23"/>
      <c r="Q17" s="36" t="s">
        <v>100</v>
      </c>
      <c r="R17" s="42" t="s">
        <v>101</v>
      </c>
      <c r="S17" s="43"/>
      <c r="T17" s="36" t="s">
        <v>100</v>
      </c>
      <c r="U17" s="44" t="s">
        <v>101</v>
      </c>
      <c r="V17" s="44" t="s">
        <v>146</v>
      </c>
      <c r="W17" s="44" t="s">
        <v>147</v>
      </c>
      <c r="X17" s="23" t="s">
        <v>34</v>
      </c>
      <c r="Y17" s="49"/>
      <c r="Z17" s="28" t="s">
        <v>39</v>
      </c>
    </row>
    <row r="18" spans="1:26" x14ac:dyDescent="0.25">
      <c r="A18" s="34" t="s">
        <v>102</v>
      </c>
      <c r="B18" s="13" t="s">
        <v>103</v>
      </c>
      <c r="C18" s="13" t="s">
        <v>104</v>
      </c>
      <c r="D18" s="13" t="s">
        <v>105</v>
      </c>
      <c r="E18" s="13" t="s">
        <v>30</v>
      </c>
      <c r="F18" s="13" t="s">
        <v>31</v>
      </c>
      <c r="G18" s="14">
        <v>40212</v>
      </c>
      <c r="H18" s="15">
        <v>12</v>
      </c>
      <c r="I18" s="16"/>
      <c r="J18" s="17"/>
      <c r="K18" s="19"/>
      <c r="L18" s="18"/>
      <c r="M18" s="13" t="s">
        <v>74</v>
      </c>
      <c r="N18" s="13" t="s">
        <v>75</v>
      </c>
      <c r="O18" s="19"/>
      <c r="P18" s="14"/>
      <c r="Q18" s="36" t="s">
        <v>106</v>
      </c>
      <c r="R18" s="42" t="s">
        <v>107</v>
      </c>
      <c r="S18" s="43"/>
      <c r="T18" s="36"/>
      <c r="U18" s="44"/>
      <c r="V18" s="44"/>
      <c r="W18" s="44"/>
      <c r="X18" s="14" t="s">
        <v>34</v>
      </c>
      <c r="Y18" s="48"/>
      <c r="Z18" s="20" t="s">
        <v>39</v>
      </c>
    </row>
    <row r="19" spans="1:26" s="2" customFormat="1" x14ac:dyDescent="0.25">
      <c r="A19" s="34" t="s">
        <v>111</v>
      </c>
      <c r="B19" s="36" t="s">
        <v>108</v>
      </c>
      <c r="C19" s="36" t="s">
        <v>112</v>
      </c>
      <c r="D19" s="36" t="s">
        <v>109</v>
      </c>
      <c r="E19" s="36" t="s">
        <v>30</v>
      </c>
      <c r="F19" s="36" t="s">
        <v>31</v>
      </c>
      <c r="G19" s="34" t="s">
        <v>110</v>
      </c>
      <c r="H19" s="37">
        <v>12</v>
      </c>
      <c r="I19" s="38"/>
      <c r="J19" s="39">
        <v>1065</v>
      </c>
      <c r="K19" s="40" t="s">
        <v>33</v>
      </c>
      <c r="L19" s="41"/>
      <c r="M19" s="36" t="s">
        <v>34</v>
      </c>
      <c r="N19" s="36"/>
      <c r="O19" s="40"/>
      <c r="P19" s="34"/>
      <c r="Q19" s="36" t="s">
        <v>149</v>
      </c>
      <c r="R19" s="44" t="s">
        <v>148</v>
      </c>
      <c r="S19" s="43"/>
      <c r="T19" s="36" t="s">
        <v>149</v>
      </c>
      <c r="U19" s="44" t="s">
        <v>148</v>
      </c>
      <c r="V19" s="44"/>
      <c r="W19" s="44"/>
      <c r="X19" s="34" t="s">
        <v>34</v>
      </c>
      <c r="Y19" s="49"/>
      <c r="Z19" s="45" t="s">
        <v>39</v>
      </c>
    </row>
    <row r="20" spans="1:26" ht="43.5" x14ac:dyDescent="0.25">
      <c r="A20" s="34" t="s">
        <v>113</v>
      </c>
      <c r="B20" s="22" t="s">
        <v>108</v>
      </c>
      <c r="C20" s="22" t="s">
        <v>114</v>
      </c>
      <c r="D20" s="22" t="s">
        <v>109</v>
      </c>
      <c r="E20" s="22" t="s">
        <v>30</v>
      </c>
      <c r="F20" s="22" t="s">
        <v>31</v>
      </c>
      <c r="G20" s="23" t="s">
        <v>110</v>
      </c>
      <c r="H20" s="24">
        <v>12</v>
      </c>
      <c r="I20" s="25"/>
      <c r="J20" s="26" t="s">
        <v>42</v>
      </c>
      <c r="K20" s="21" t="s">
        <v>115</v>
      </c>
      <c r="L20" s="27"/>
      <c r="M20" s="22" t="s">
        <v>34</v>
      </c>
      <c r="N20" s="22"/>
      <c r="O20" s="21"/>
      <c r="P20" s="23"/>
      <c r="Q20" s="36" t="s">
        <v>149</v>
      </c>
      <c r="R20" s="44" t="s">
        <v>148</v>
      </c>
      <c r="S20" s="43"/>
      <c r="T20" s="36" t="s">
        <v>149</v>
      </c>
      <c r="U20" s="44" t="s">
        <v>148</v>
      </c>
      <c r="V20" s="44"/>
      <c r="W20" s="44"/>
      <c r="X20" s="23" t="s">
        <v>38</v>
      </c>
      <c r="Y20" s="49"/>
      <c r="Z20" s="28" t="s">
        <v>39</v>
      </c>
    </row>
    <row r="21" spans="1:26" s="2" customFormat="1" ht="117" x14ac:dyDescent="0.25">
      <c r="A21" s="34" t="s">
        <v>116</v>
      </c>
      <c r="B21" s="36" t="s">
        <v>108</v>
      </c>
      <c r="C21" s="36" t="s">
        <v>117</v>
      </c>
      <c r="D21" s="36" t="s">
        <v>109</v>
      </c>
      <c r="E21" s="36" t="s">
        <v>30</v>
      </c>
      <c r="F21" s="36" t="s">
        <v>31</v>
      </c>
      <c r="G21" s="34" t="s">
        <v>110</v>
      </c>
      <c r="H21" s="37">
        <v>12</v>
      </c>
      <c r="I21" s="38"/>
      <c r="J21" s="39" t="s">
        <v>42</v>
      </c>
      <c r="K21" s="40" t="s">
        <v>118</v>
      </c>
      <c r="L21" s="41"/>
      <c r="M21" s="36" t="s">
        <v>34</v>
      </c>
      <c r="N21" s="36"/>
      <c r="O21" s="40"/>
      <c r="P21" s="34"/>
      <c r="Q21" s="36" t="s">
        <v>149</v>
      </c>
      <c r="R21" s="44" t="s">
        <v>148</v>
      </c>
      <c r="S21" s="43"/>
      <c r="T21" s="36" t="s">
        <v>149</v>
      </c>
      <c r="U21" s="44" t="s">
        <v>148</v>
      </c>
      <c r="V21" s="44"/>
      <c r="W21" s="44"/>
      <c r="X21" s="34" t="s">
        <v>34</v>
      </c>
      <c r="Y21" s="49"/>
      <c r="Z21" s="45" t="s">
        <v>39</v>
      </c>
    </row>
    <row r="22" spans="1:26" ht="22.5" x14ac:dyDescent="0.25">
      <c r="A22" s="35">
        <v>135740</v>
      </c>
      <c r="B22" s="30"/>
      <c r="C22" s="30" t="s">
        <v>150</v>
      </c>
      <c r="D22" s="30" t="s">
        <v>151</v>
      </c>
      <c r="E22" s="30" t="s">
        <v>152</v>
      </c>
      <c r="F22" s="30" t="s">
        <v>31</v>
      </c>
      <c r="G22" s="30">
        <v>40059</v>
      </c>
      <c r="H22" s="31">
        <v>12</v>
      </c>
      <c r="I22" s="30"/>
      <c r="J22" s="32">
        <v>1065</v>
      </c>
      <c r="K22" s="33" t="s">
        <v>153</v>
      </c>
      <c r="L22" s="30"/>
      <c r="M22" s="30"/>
      <c r="N22" s="30"/>
      <c r="O22" s="30"/>
      <c r="P22" s="30"/>
      <c r="Q22" s="46" t="s">
        <v>154</v>
      </c>
      <c r="R22" s="47" t="s">
        <v>155</v>
      </c>
      <c r="S22" s="46"/>
      <c r="T22" s="46" t="s">
        <v>154</v>
      </c>
      <c r="U22" s="47" t="s">
        <v>155</v>
      </c>
      <c r="V22" s="46"/>
      <c r="W22" s="46"/>
      <c r="X22" s="30"/>
      <c r="Y22" s="50"/>
      <c r="Z22" s="30"/>
    </row>
    <row r="25" spans="1:26" s="2" customFormat="1" x14ac:dyDescent="0.25">
      <c r="H25" s="3"/>
    </row>
    <row r="26" spans="1:26" s="2" customFormat="1" x14ac:dyDescent="0.25">
      <c r="H26" s="3"/>
    </row>
    <row r="27" spans="1:26" s="2" customFormat="1" x14ac:dyDescent="0.25">
      <c r="H27" s="3"/>
    </row>
  </sheetData>
  <conditionalFormatting sqref="L2:L19 I2:I19">
    <cfRule type="notContainsBlanks" dxfId="29" priority="2">
      <formula>LEN(TRIM(I2))&gt;0</formula>
    </cfRule>
  </conditionalFormatting>
  <dataValidations count="6">
    <dataValidation type="list" allowBlank="1" showInputMessage="1" sqref="N2:N18 N20:N21" xr:uid="{F7DFC36D-A6DF-4361-8CAA-6D0CEF66C399}">
      <formula1>"GAAP,Tax,Modified Cash,Cash,Other"</formula1>
    </dataValidation>
    <dataValidation type="list" allowBlank="1" showInputMessage="1" showErrorMessage="1" sqref="X2:X21" xr:uid="{A3CA9BE8-C43C-40F2-9351-7392A0EEE40B}">
      <formula1>"None,Tax,Book,Book &amp; Tax"</formula1>
    </dataValidation>
    <dataValidation type="list" allowBlank="1" showInputMessage="1" showErrorMessage="1" sqref="J2:J21" xr:uid="{5054AA8B-8024-4C2C-A676-8CB0D66F5CE3}">
      <formula1>"1120,1120S,1065,1041,990,990-EZ,990-N,990-PF,KY 725"</formula1>
    </dataValidation>
    <dataValidation type="list" allowBlank="1" sqref="N19" xr:uid="{9865B062-2BD4-41D8-81F8-FC45D6BFF7A3}">
      <formula1>"GAAP,Tax,Modified Cash,Cash,Other"</formula1>
    </dataValidation>
    <dataValidation type="list" allowBlank="1" showInputMessage="1" showErrorMessage="1" sqref="M2:M21" xr:uid="{88770CCF-4583-4D65-84B7-D83203402BA8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P2:P21 S2:S21" xr:uid="{DFCDEF9C-D5FD-48B6-A7C4-96E38E757B3F}">
      <formula1>"X"</formula1>
    </dataValidation>
  </dataValidations>
  <hyperlinks>
    <hyperlink ref="W17" r:id="rId1" xr:uid="{D295E22A-B31E-4EB8-962E-FC00948600E5}"/>
    <hyperlink ref="R16" r:id="rId2" xr:uid="{20172F0E-3621-4AF6-9EE2-D35FE6A450A2}"/>
    <hyperlink ref="U2" r:id="rId3" xr:uid="{3F264308-3EA2-4F9B-A53E-E7189CA308FE}"/>
    <hyperlink ref="U3" r:id="rId4" xr:uid="{3ED5BE3B-76A6-4072-9320-E3EE4C24F14A}"/>
    <hyperlink ref="U22" r:id="rId5" xr:uid="{3C8B82A1-4ACD-4603-A63D-686ABA5D434B}"/>
    <hyperlink ref="R22" r:id="rId6" xr:uid="{5F722CBF-BE8F-4740-8E7D-7D4FEBB3958D}"/>
    <hyperlink ref="R11" r:id="rId7" xr:uid="{1B6AA852-9BC2-4D32-9B3B-E1318B90919C}"/>
    <hyperlink ref="R12" r:id="rId8" xr:uid="{CC0A5192-E2F5-4FFB-8BE6-A56909F608E6}"/>
    <hyperlink ref="U11" r:id="rId9" xr:uid="{AD4C9827-C08D-490A-895D-97095A78B09B}"/>
    <hyperlink ref="U12" r:id="rId10" xr:uid="{030A6BD1-A9EB-45E9-97E0-7D8518D212ED}"/>
  </hyperlinks>
  <pageMargins left="0.2" right="0.2" top="0.25" bottom="0.25" header="0.3" footer="0.3"/>
  <pageSetup scale="80" orientation="landscape" r:id="rId11"/>
  <legacyDrawing r:id="rId12"/>
  <tableParts count="1"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C37844-20BF-4A8C-A5B6-B276086A09D7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3C007E75-46AA-4565-9258-F607856DEC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280E36B-72E0-4B76-B9C6-34C6717F0E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Strange, Andrea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Pam Sauls</cp:lastModifiedBy>
  <cp:lastPrinted>2022-01-03T23:51:32Z</cp:lastPrinted>
  <dcterms:created xsi:type="dcterms:W3CDTF">2021-12-10T21:56:44Z</dcterms:created>
  <dcterms:modified xsi:type="dcterms:W3CDTF">2022-11-21T20:35:07Z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