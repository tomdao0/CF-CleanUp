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ED56F499-A4C7-457B-8D82-23B9788688ED}" xr6:coauthVersionLast="47" xr6:coauthVersionMax="47" xr10:uidLastSave="{00000000-0000-0000-0000-000000000000}"/>
  <bookViews>
    <workbookView xWindow="-108" yWindow="-108" windowWidth="23256" windowHeight="12456" xr2:uid="{7F21988A-6063-4D04-98EC-D5DA505CCE1E}"/>
  </bookViews>
  <sheets>
    <sheet name="Olinger, Scott" sheetId="1" r:id="rId1"/>
  </sheets>
  <definedNames>
    <definedName name="_xlnm._FilterDatabase" localSheetId="0" hidden="1">'Olinger, Scott'!$A$1:$Z$11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F91A7610-1C8E-4C32-9EC8-F371109107B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004088C8-B6FF-410F-9226-E74930CE1C8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B40F4ABE-C6A8-4A2C-A8E8-3D5334556D8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F530171A-5A3C-431D-B2D0-6B9025806798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<sst xmlns="http://schemas.openxmlformats.org/spreadsheetml/2006/main" count="183" uniqueCount="102">
  <si>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</si>
  <si>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</si>
  <si>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</si>
  <si>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</si>
  <si>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</si>
  <si>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</si>
  <si>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</si>
  <si>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</si>
  <si>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</si>
  <si>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</si>
  <si>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</si>
  <si>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</si>
  <si>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</si>
  <si>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</si>
  <si>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</si>
  <si>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</si>
  <si>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</si>
  <si>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</si>
  <si>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</si>
  <si>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</si>
  <si>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</si>
  <si>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</si>
  <si>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</si>
  <si>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</si>
  <si>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</si>
  <si>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</si>
  <si>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FCI</t>
  </si>
  <si>
    <t>Flooring Concepts, Inc.</t>
  </si>
  <si>
    <t>1228 Bringham Drive</t>
  </si>
  <si>
    <t>Sellersburg</t>
  </si>
  <si>
    <t>Indiana</t>
  </si>
  <si>
    <t>1120S</t>
  </si>
  <si>
    <t>Indiana, Kentucky, and Louisville</t>
  </si>
  <si>
    <t>None</t>
  </si>
  <si>
    <t>Kayla Temple</t>
  </si>
  <si>
    <t>flooringconcepts22@sbcglobal.net</t>
  </si>
  <si>
    <t>Olinger, Scott</t>
  </si>
  <si>
    <t>Louisville</t>
  </si>
  <si>
    <t>Kentucky</t>
  </si>
  <si>
    <t>X</t>
  </si>
  <si>
    <t>Kentucky and Louisville</t>
  </si>
  <si>
    <t>Tax</t>
  </si>
  <si>
    <t>GAAP</t>
  </si>
  <si>
    <t>Book</t>
  </si>
  <si>
    <t>135407</t>
  </si>
  <si>
    <t>AMATROL</t>
  </si>
  <si>
    <t>Smart Automation Certification Alliance, Inc.</t>
  </si>
  <si>
    <t>3500 PNC Tower, 101 South Fifth Street</t>
  </si>
  <si>
    <t>No states</t>
  </si>
  <si>
    <t>James Wall</t>
  </si>
  <si>
    <t>Brian Sizemore</t>
  </si>
  <si>
    <t>brian_sizemore@amatrol.com</t>
  </si>
  <si>
    <t>134671</t>
  </si>
  <si>
    <t>ANNE COATES</t>
  </si>
  <si>
    <t>Anne E. Coates Maintenance Trust</t>
  </si>
  <si>
    <t>3622 Andrews Court</t>
  </si>
  <si>
    <t>Salem</t>
  </si>
  <si>
    <t>Illinois</t>
  </si>
  <si>
    <t>Anne Coates</t>
  </si>
  <si>
    <t>Annecoates@Hotmail.Com</t>
  </si>
  <si>
    <t>134897</t>
  </si>
  <si>
    <t>Floyd E. Coates Irrevocable Trust</t>
  </si>
  <si>
    <t>New Albany</t>
  </si>
  <si>
    <t>47150</t>
  </si>
  <si>
    <t>100956</t>
  </si>
  <si>
    <t>JY LEGNER</t>
  </si>
  <si>
    <t>Power Realty, LLC</t>
  </si>
  <si>
    <t>340 North Evergreen Road, Suite 100</t>
  </si>
  <si>
    <t>40243</t>
  </si>
  <si>
    <t>Matt Linville</t>
  </si>
  <si>
    <t>mlinville@jyla.com</t>
  </si>
  <si>
    <t>Kim Massey</t>
  </si>
  <si>
    <t>kmassey@jyla.com</t>
  </si>
  <si>
    <t>135272</t>
  </si>
  <si>
    <t>PROMEDIA</t>
  </si>
  <si>
    <t>Promedia Group, LLC</t>
  </si>
  <si>
    <t>4106 Reas Lane</t>
  </si>
  <si>
    <t>Vicki Williamson</t>
  </si>
  <si>
    <t>Vicki@promediagroup.com</t>
  </si>
  <si>
    <t>100118</t>
  </si>
  <si>
    <t>UNIPAK</t>
  </si>
  <si>
    <t>Unipak, LLC</t>
  </si>
  <si>
    <t>2501 Plantside Drive</t>
  </si>
  <si>
    <t>40299</t>
  </si>
  <si>
    <t>Comp - Full Disc</t>
  </si>
  <si>
    <t>nik@unipak.cc</t>
  </si>
  <si>
    <t>Nik Davidenkoff</t>
  </si>
  <si>
    <t>Comp - No Disc</t>
  </si>
  <si>
    <t>Ball Hollow Holdings, LLC</t>
  </si>
  <si>
    <t>Linville QOF, LLC</t>
  </si>
  <si>
    <t>5810 Orion Road</t>
  </si>
  <si>
    <t>100612</t>
  </si>
  <si>
    <t>JY Legner Associates, Inc.</t>
  </si>
  <si>
    <t>Indiana, Kentucky, North Carolina, Virginia, and various Kentucky local returns</t>
  </si>
  <si>
    <t>Review</t>
  </si>
  <si>
    <t>jim.wall@saca.org</t>
  </si>
  <si>
    <t>No CAL-per LC</t>
  </si>
  <si>
    <t>No CAL</t>
  </si>
  <si>
    <t>Legner Industries, LLC</t>
  </si>
  <si>
    <t>340 North Evergreen Road</t>
  </si>
  <si>
    <t>Josephone Legner</t>
  </si>
  <si>
    <t>jlegner@jyla.com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</si>
</sst>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9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left" wrapText="1"/>
    </xf>
    <xf numFmtId="0" fontId="1" fillId="2" borderId="6" xfId="0" applyFont="1" applyFill="1" applyBorder="1" applyAlignment="1">
      <alignment horizontal="center" wrapText="1"/>
    </xf>
    <xf numFmtId="0" fontId="1" fillId="2" borderId="6" xfId="0" applyFont="1" applyFill="1" applyBorder="1"/>
    <xf numFmtId="0" fontId="1" fillId="2" borderId="7" xfId="0" applyFont="1" applyFill="1" applyBorder="1" applyAlignment="1">
      <alignment horizontal="center"/>
    </xf>
    <xf numFmtId="0" fontId="7" fillId="0" borderId="1" xfId="0" quotePrefix="1" applyFont="1" applyBorder="1" applyAlignment="1">
      <alignment horizontal="center"/>
    </xf>
    <xf numFmtId="0" fontId="7" fillId="0" borderId="1" xfId="0" applyFont="1" applyBorder="1" applyAlignment="1">
      <alignment horizontal="left" wrapText="1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 wrapText="1"/>
    </xf>
    <xf numFmtId="42" fontId="7" fillId="0" borderId="1" xfId="0" applyNumberFormat="1" applyFont="1" applyBorder="1" applyAlignment="1">
      <alignment horizontal="left" wrapText="1"/>
    </xf>
    <xf numFmtId="0" fontId="7" fillId="0" borderId="2" xfId="0" applyFont="1" applyBorder="1" applyAlignment="1">
      <alignment horizontal="left" wrapText="1"/>
    </xf>
    <xf numFmtId="0" fontId="7" fillId="0" borderId="3" xfId="0" applyFont="1" applyBorder="1" applyAlignment="1">
      <alignment horizontal="left" wrapText="1"/>
    </xf>
    <xf numFmtId="0" fontId="7" fillId="0" borderId="2" xfId="1" applyFont="1" applyFill="1" applyBorder="1" applyAlignment="1"/>
    <xf numFmtId="0" fontId="7" fillId="0" borderId="1" xfId="1" applyFont="1" applyFill="1" applyBorder="1" applyAlignment="1">
      <alignment horizontal="center"/>
    </xf>
    <xf numFmtId="0" fontId="7" fillId="0" borderId="1" xfId="1" applyFont="1" applyFill="1" applyBorder="1" applyAlignment="1"/>
    <xf numFmtId="0" fontId="7" fillId="0" borderId="1" xfId="1" applyFont="1" applyFill="1" applyBorder="1" applyAlignment="1">
      <alignment horizontal="left" vertical="center" wrapText="1"/>
    </xf>
    <xf numFmtId="0" fontId="7" fillId="0" borderId="4" xfId="1" applyFont="1" applyFill="1" applyBorder="1" applyAlignment="1"/>
    <xf numFmtId="0" fontId="7" fillId="0" borderId="1" xfId="0" applyFont="1" applyBorder="1" applyAlignment="1">
      <alignment horizontal="center" wrapText="1"/>
    </xf>
    <xf numFmtId="0" fontId="8" fillId="0" borderId="1" xfId="0" applyFont="1" applyBorder="1"/>
    <xf numFmtId="0" fontId="7" fillId="0" borderId="0" xfId="1" applyFont="1" applyFill="1" applyBorder="1" applyAlignment="1"/>
    <xf numFmtId="0" fontId="7" fillId="0" borderId="2" xfId="0" applyFont="1" applyBorder="1" applyAlignment="1">
      <alignment horizontal="center"/>
    </xf>
    <xf numFmtId="42" fontId="7" fillId="0" borderId="1" xfId="0" applyNumberFormat="1" applyFont="1" applyBorder="1" applyAlignment="1" applyProtection="1">
      <alignment horizontal="left" wrapText="1"/>
      <protection locked="0"/>
    </xf>
    <xf numFmtId="0" fontId="7" fillId="0" borderId="3" xfId="0" applyFont="1" applyBorder="1" applyAlignment="1" applyProtection="1">
      <alignment horizontal="left" wrapTex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7" fillId="0" borderId="1" xfId="0" applyFont="1" applyBorder="1" applyAlignment="1" applyProtection="1">
      <alignment horizontal="left" wrapText="1"/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2" xfId="1" applyFont="1" applyFill="1" applyBorder="1" applyAlignment="1" applyProtection="1">
      <alignment horizontal="left"/>
      <protection locked="0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 applyProtection="1">
      <alignment horizontal="left"/>
      <protection locked="0"/>
    </xf>
    <xf numFmtId="0" fontId="7" fillId="0" borderId="1" xfId="1" applyFont="1" applyFill="1" applyBorder="1" applyAlignment="1" applyProtection="1">
      <alignment horizontal="left" vertical="center" wrapText="1"/>
      <protection locked="0"/>
    </xf>
    <xf numFmtId="0" fontId="8" fillId="0" borderId="4" xfId="0" applyFont="1" applyBorder="1"/>
    <xf numFmtId="0" fontId="7" fillId="0" borderId="8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42" fontId="7" fillId="3" borderId="1" xfId="0" applyNumberFormat="1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7" fillId="3" borderId="3" xfId="0" applyFont="1" applyFill="1" applyBorder="1" applyAlignment="1">
      <alignment horizontal="left" wrapText="1"/>
    </xf>
    <xf numFmtId="0" fontId="7" fillId="3" borderId="2" xfId="1" applyFont="1" applyFill="1" applyBorder="1" applyAlignment="1"/>
    <xf numFmtId="0" fontId="7" fillId="3" borderId="1" xfId="1" applyFont="1" applyFill="1" applyBorder="1" applyAlignment="1"/>
    <xf numFmtId="0" fontId="7" fillId="3" borderId="1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/>
    <xf numFmtId="0" fontId="8" fillId="0" borderId="0" xfId="0" applyFont="1"/>
  </cellXfs>
  <cellStyles count="3">
    <cellStyle name="Hyperlink" xfId="1" builtinId="8"/>
    <cellStyle name="Normal" xfId="0" builtinId="0"/>
    <cellStyle name="Normal 2" xfId="2" xr:uid="{FEED80AC-BE05-4689-8AC3-F1260FA2B9B0}"/>
  </cellStyles>
  <dxfs count="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solid">
          <fgColor indexed="64"/>
          <bgColor theme="9" tint="0.3999755851924192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A2ADDF-244A-4097-9C93-96F22DED4704}" name="Table2" displayName="Table2" ref="A1:Z12" totalsRowShown="0" headerRowBorderDxfId="26" tableBorderDxfId="25">
  <autoFilter ref="A1:Z12" xr:uid="{E1A2ADDF-244A-4097-9C93-96F22DED4704}"/>
  <tableColumns count="26">
    <tableColumn id="1" xr3:uid="{4A1811E8-06F8-4FA6-8F84-1FEA31860FA4}" name="Client #" dataDxfId="24"/>
    <tableColumn id="2" xr3:uid="{734842AC-7389-4C4B-89A8-8218857FC89E}" name="Client Group"/>
    <tableColumn id="3" xr3:uid="{5BF7013F-C67B-4225-BE54-60C7D6FC8E58}" name="Client Name" dataDxfId="23"/>
    <tableColumn id="4" xr3:uid="{8A77F146-3D34-4BD4-B12E-46DC20F55F26}" name="Address" dataDxfId="22"/>
    <tableColumn id="5" xr3:uid="{A6DBA4FB-0710-430D-AC80-6E3C1EE38748}" name="City" dataDxfId="21"/>
    <tableColumn id="6" xr3:uid="{B58B3330-FF3F-40A8-994F-898D7308A8C2}" name="State" dataDxfId="20"/>
    <tableColumn id="7" xr3:uid="{746F3A41-5874-40F5-A53D-CC15100B658E}" name="ZipCode" dataDxfId="19"/>
    <tableColumn id="8" xr3:uid="{E29E69D2-DD0B-48EA-8818-74BE74B0C2BF}" name="Year End"/>
    <tableColumn id="9" xr3:uid="{573A68C3-2D71-48F4-BFCF-7BC48E6C8AF7}" name="Eng Ltr Fees if Inlcluded" dataDxfId="18"/>
    <tableColumn id="10" xr3:uid="{52D896CF-CBAB-4F85-999D-AD2F82F3D1B2}" name="Tax Eng Ltr Type"/>
    <tableColumn id="11" xr3:uid="{ACC459A1-F3C4-4E1E-9DBD-13A024B4E960}" name="States/Localities" dataDxfId="17"/>
    <tableColumn id="12" xr3:uid="{2A90472A-165F-43A7-A329-4B1F065D3B41}" name="Changes in States/Localities" dataDxfId="16"/>
    <tableColumn id="13" xr3:uid="{41649492-A9C3-4F00-B994-BCD65C8DABAF}" name="AA Eng Ltr Type" dataDxfId="15"/>
    <tableColumn id="14" xr3:uid="{0D7BD3CB-883E-4EE0-B430-1202C84EFD78}" name="AA Financial Framework (FF)" dataDxfId="14"/>
    <tableColumn id="15" xr3:uid="{67F2BB1B-188D-49CD-8A6C-7149F346391A}" name="AA Departure from FF?" dataDxfId="13"/>
    <tableColumn id="16" xr3:uid="{35E610D0-6EB4-47E7-BF12-F339059E02B9}" name="AA Not Independent?" dataDxfId="12"/>
    <tableColumn id="17" xr3:uid="{9CCAA549-C38B-44C9-BEF7-0A51D757009F}" name="Eng Ltr Contact" dataDxfId="11"/>
    <tableColumn id="18" xr3:uid="{ACD28BC7-36E2-4E06-AD75-4F0F3F9E6CEE}" name="Eng Ltr Contact Email" dataDxfId="10" dataCellStyle="Hyperlink"/>
    <tableColumn id="19" xr3:uid="{2645A228-BB74-4F2B-AE4A-9944A0643DE2}" name="OS Client" dataDxfId="9"/>
    <tableColumn id="20" xr3:uid="{E030D9AE-E921-4195-9439-A96C7AD684C1}" name="CAL Contact" dataDxfId="8"/>
    <tableColumn id="21" xr3:uid="{3AB258FD-552D-4D23-A082-508D4137322A}" name="CAL Contact Email"/>
    <tableColumn id="22" xr3:uid="{77B32448-F28C-4965-88CA-89AF4A524A4C}" name="CAL Contact 2" dataDxfId="7" dataCellStyle="Hyperlink"/>
    <tableColumn id="23" xr3:uid="{BBFA2E1F-AEA5-4F18-89C2-CCB4C97E0000}" name="CAL Contact Email 2" dataDxfId="6" dataCellStyle="Hyperlink"/>
    <tableColumn id="24" xr3:uid="{D09AAE18-98FC-43BF-9BE2-D330657BA802}" name="Depreciation Schedule Sent w/ CAL?" dataDxfId="5"/>
    <tableColumn id="25" xr3:uid="{4A79CB1A-55CB-4CDE-815E-D425F3A80FBF}" name="Other Comments, Changes, etc." dataDxfId="4" dataCellStyle="Hyperlink"/>
    <tableColumn id="26" xr3:uid="{6D06FE1E-73B2-41BC-AFF4-B2F822FC4EBA}" name="Primary" dataDxfId="3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linville@jyla.com" TargetMode="External"/><Relationship Id="rId13" Type="http://schemas.openxmlformats.org/officeDocument/2006/relationships/hyperlink" Target="mailto:jim.wall@saca.org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kmassey@jyla.com" TargetMode="External"/><Relationship Id="rId7" Type="http://schemas.openxmlformats.org/officeDocument/2006/relationships/hyperlink" Target="mailto:mlinville@jyla.com" TargetMode="External"/><Relationship Id="rId12" Type="http://schemas.openxmlformats.org/officeDocument/2006/relationships/hyperlink" Target="mailto:mlinville@jyla.com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flooringconcepts22@sbcglobal.net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flooringconcepts22@sbcglobal.net" TargetMode="External"/><Relationship Id="rId6" Type="http://schemas.openxmlformats.org/officeDocument/2006/relationships/hyperlink" Target="mailto:mlinville@jyla.com" TargetMode="External"/><Relationship Id="rId11" Type="http://schemas.openxmlformats.org/officeDocument/2006/relationships/hyperlink" Target="mailto:mlinville@jyla.com" TargetMode="External"/><Relationship Id="rId5" Type="http://schemas.openxmlformats.org/officeDocument/2006/relationships/hyperlink" Target="mailto:mlinville@jyla.com" TargetMode="External"/><Relationship Id="rId15" Type="http://schemas.openxmlformats.org/officeDocument/2006/relationships/hyperlink" Target="mailto:jlegner@jyla.com" TargetMode="External"/><Relationship Id="rId10" Type="http://schemas.openxmlformats.org/officeDocument/2006/relationships/hyperlink" Target="mailto:mlinville@jyla.com" TargetMode="External"/><Relationship Id="rId19" Type="http://schemas.openxmlformats.org/officeDocument/2006/relationships/comments" Target="../comments1.xml"/><Relationship Id="rId4" Type="http://schemas.openxmlformats.org/officeDocument/2006/relationships/hyperlink" Target="mailto:kmassey@jyla.com" TargetMode="External"/><Relationship Id="rId9" Type="http://schemas.openxmlformats.org/officeDocument/2006/relationships/hyperlink" Target="mailto:mlinville@jyla.com" TargetMode="External"/><Relationship Id="rId14" Type="http://schemas.openxmlformats.org/officeDocument/2006/relationships/hyperlink" Target="mailto:jlegner@jyl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DCC5A-2F07-41CC-95B2-35C76636B1C9}">
  <sheetPr codeName="Sheet1"/>
  <dimension ref="A1:Z12"/>
  <sheetViews>
    <sheetView tabSelected="1" zoomScaleNormal="100" workbookViewId="0">
      <pane xSplit="3" ySplit="1" topLeftCell="D4" activePane="bottomRight" state="frozen"/>
      <selection pane="topRight" activeCell="D1" sqref="D1"/>
      <selection pane="bottomLeft" activeCell="A2" sqref="A2"/>
      <selection pane="bottomRight" activeCell="A13" sqref="A13:XFD17"/>
    </sheetView>
  </sheetViews>
  <sheetFormatPr defaultColWidth="22.109375" defaultRowHeight="14.4" x14ac:dyDescent="0.3"/>
  <cols>
    <col min="1" max="1" width="8.88671875" customWidth="1"/>
    <col min="2" max="2" width="16" customWidth="1"/>
    <col min="3" max="3" width="32" customWidth="1"/>
    <col min="4" max="4" width="29.33203125" customWidth="1"/>
    <col min="5" max="5" width="9.88671875" customWidth="1"/>
    <col min="6" max="6" width="8.33203125" customWidth="1"/>
    <col min="7" max="7" width="10.5546875" customWidth="1"/>
    <col min="8" max="8" width="9.109375" style="1" customWidth="1"/>
    <col min="9" max="9" width="15" customWidth="1"/>
    <col min="10" max="10" width="10.5546875" style="2" customWidth="1"/>
    <col min="11" max="11" width="30.88671875" customWidth="1"/>
    <col min="12" max="12" width="19" customWidth="1"/>
    <col min="13" max="13" width="17.6640625" customWidth="1"/>
    <col min="14" max="14" width="20.109375" customWidth="1"/>
    <col min="15" max="15" width="16.6640625" customWidth="1"/>
    <col min="16" max="16" width="15.44140625" customWidth="1"/>
    <col min="17" max="17" width="17.33203125" bestFit="1" customWidth="1"/>
    <col min="18" max="18" width="25" bestFit="1" customWidth="1"/>
    <col min="19" max="19" width="11.6640625" customWidth="1"/>
    <col min="20" max="20" width="14.44140625" bestFit="1" customWidth="1"/>
    <col min="21" max="21" width="25" bestFit="1" customWidth="1"/>
    <col min="22" max="22" width="15.88671875" customWidth="1"/>
    <col min="23" max="23" width="21.5546875" customWidth="1"/>
    <col min="24" max="24" width="21.33203125" customWidth="1"/>
    <col min="25" max="25" width="34" customWidth="1"/>
    <col min="26" max="26" width="12.6640625" bestFit="1" customWidth="1"/>
  </cols>
  <sheetData>
    <row r="1" spans="1:26" ht="45.75" customHeight="1" x14ac:dyDescent="0.3">
      <c r="A1" s="3" t="s">
        <v>0</v>
      </c>
      <c r="B1" s="4" t="s">
        <v>1</v>
      </c>
      <c r="C1" s="4" t="s">
        <v>2</v>
      </c>
      <c r="D1" s="5" t="s">
        <v>3</v>
      </c>
      <c r="E1" s="5" t="s">
        <v>4</v>
      </c>
      <c r="F1" s="5" t="s">
        <v>5</v>
      </c>
      <c r="G1" s="6" t="s">
        <v>6</v>
      </c>
      <c r="H1" s="7" t="s">
        <v>7</v>
      </c>
      <c r="I1" s="7" t="s">
        <v>8</v>
      </c>
      <c r="J1" s="8" t="s">
        <v>9</v>
      </c>
      <c r="K1" s="6" t="s">
        <v>10</v>
      </c>
      <c r="L1" s="6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8" t="s">
        <v>16</v>
      </c>
      <c r="R1" s="6" t="s">
        <v>17</v>
      </c>
      <c r="S1" s="6" t="s">
        <v>18</v>
      </c>
      <c r="T1" s="4" t="s">
        <v>19</v>
      </c>
      <c r="U1" s="10" t="s">
        <v>20</v>
      </c>
      <c r="V1" s="4" t="s">
        <v>21</v>
      </c>
      <c r="W1" s="10" t="s">
        <v>22</v>
      </c>
      <c r="X1" s="9" t="s">
        <v>23</v>
      </c>
      <c r="Y1" s="9" t="s">
        <v>24</v>
      </c>
      <c r="Z1" s="11" t="s">
        <v>25</v>
      </c>
    </row>
    <row r="2" spans="1:26" x14ac:dyDescent="0.3">
      <c r="A2" s="12" t="s">
        <v>44</v>
      </c>
      <c r="B2" s="13" t="s">
        <v>45</v>
      </c>
      <c r="C2" s="14" t="s">
        <v>46</v>
      </c>
      <c r="D2" s="14" t="s">
        <v>47</v>
      </c>
      <c r="E2" s="14" t="s">
        <v>37</v>
      </c>
      <c r="F2" s="14" t="s">
        <v>38</v>
      </c>
      <c r="G2" s="15">
        <v>40202</v>
      </c>
      <c r="H2" s="16">
        <v>12</v>
      </c>
      <c r="I2" s="17"/>
      <c r="J2" s="18">
        <v>990</v>
      </c>
      <c r="K2" s="13" t="s">
        <v>48</v>
      </c>
      <c r="L2" s="19"/>
      <c r="M2" s="14" t="s">
        <v>33</v>
      </c>
      <c r="N2" s="14"/>
      <c r="O2" s="13"/>
      <c r="P2" s="15"/>
      <c r="Q2" s="14" t="s">
        <v>49</v>
      </c>
      <c r="R2" s="20" t="s">
        <v>95</v>
      </c>
      <c r="S2" s="21"/>
      <c r="T2" s="14" t="s">
        <v>50</v>
      </c>
      <c r="U2" s="22" t="s">
        <v>51</v>
      </c>
      <c r="V2" s="22"/>
      <c r="W2" s="22"/>
      <c r="X2" s="15" t="s">
        <v>33</v>
      </c>
      <c r="Y2" s="23"/>
      <c r="Z2" s="24" t="s">
        <v>36</v>
      </c>
    </row>
    <row r="3" spans="1:26" ht="17.25" customHeight="1" x14ac:dyDescent="0.3">
      <c r="A3" s="15" t="s">
        <v>52</v>
      </c>
      <c r="B3" s="13" t="s">
        <v>53</v>
      </c>
      <c r="C3" s="14" t="s">
        <v>54</v>
      </c>
      <c r="D3" s="14" t="s">
        <v>55</v>
      </c>
      <c r="E3" s="14" t="s">
        <v>56</v>
      </c>
      <c r="F3" s="14" t="s">
        <v>57</v>
      </c>
      <c r="G3" s="15">
        <v>62881</v>
      </c>
      <c r="H3" s="16">
        <v>12</v>
      </c>
      <c r="I3" s="17"/>
      <c r="J3" s="18">
        <v>1041</v>
      </c>
      <c r="K3" s="13" t="s">
        <v>57</v>
      </c>
      <c r="L3" s="19"/>
      <c r="M3" s="14" t="s">
        <v>33</v>
      </c>
      <c r="N3" s="14"/>
      <c r="O3" s="13"/>
      <c r="P3" s="15"/>
      <c r="Q3" s="14" t="s">
        <v>58</v>
      </c>
      <c r="R3" s="20" t="s">
        <v>59</v>
      </c>
      <c r="S3" s="21"/>
      <c r="T3" s="14" t="s">
        <v>97</v>
      </c>
      <c r="U3" s="22"/>
      <c r="V3" s="22"/>
      <c r="W3" s="22"/>
      <c r="X3" s="15" t="s">
        <v>33</v>
      </c>
      <c r="Y3" s="23"/>
      <c r="Z3" s="24" t="s">
        <v>36</v>
      </c>
    </row>
    <row r="4" spans="1:26" x14ac:dyDescent="0.3">
      <c r="A4" s="15" t="s">
        <v>60</v>
      </c>
      <c r="B4" s="13" t="s">
        <v>53</v>
      </c>
      <c r="C4" s="14" t="s">
        <v>61</v>
      </c>
      <c r="D4" s="14" t="s">
        <v>55</v>
      </c>
      <c r="E4" s="14" t="s">
        <v>56</v>
      </c>
      <c r="F4" s="14" t="s">
        <v>57</v>
      </c>
      <c r="G4" s="15">
        <v>62881</v>
      </c>
      <c r="H4" s="16">
        <v>12</v>
      </c>
      <c r="I4" s="17"/>
      <c r="J4" s="18">
        <v>1041</v>
      </c>
      <c r="K4" s="13" t="s">
        <v>57</v>
      </c>
      <c r="L4" s="19"/>
      <c r="M4" s="14" t="s">
        <v>33</v>
      </c>
      <c r="N4" s="14"/>
      <c r="O4" s="13"/>
      <c r="P4" s="15"/>
      <c r="Q4" s="14" t="s">
        <v>58</v>
      </c>
      <c r="R4" s="20" t="s">
        <v>59</v>
      </c>
      <c r="S4" s="21"/>
      <c r="T4" s="14" t="s">
        <v>97</v>
      </c>
      <c r="U4" s="22"/>
      <c r="V4" s="22"/>
      <c r="W4" s="22"/>
      <c r="X4" s="15" t="s">
        <v>33</v>
      </c>
      <c r="Y4" s="23"/>
      <c r="Z4" s="24" t="s">
        <v>36</v>
      </c>
    </row>
    <row r="5" spans="1:26" x14ac:dyDescent="0.3">
      <c r="A5" s="15" t="s">
        <v>64</v>
      </c>
      <c r="B5" s="13" t="s">
        <v>65</v>
      </c>
      <c r="C5" s="14" t="s">
        <v>66</v>
      </c>
      <c r="D5" s="14" t="s">
        <v>67</v>
      </c>
      <c r="E5" s="14" t="s">
        <v>37</v>
      </c>
      <c r="F5" s="14" t="s">
        <v>38</v>
      </c>
      <c r="G5" s="15" t="s">
        <v>68</v>
      </c>
      <c r="H5" s="16">
        <v>12</v>
      </c>
      <c r="I5" s="17"/>
      <c r="J5" s="18">
        <v>1065</v>
      </c>
      <c r="K5" s="13" t="s">
        <v>40</v>
      </c>
      <c r="L5" s="19"/>
      <c r="M5" s="14" t="s">
        <v>33</v>
      </c>
      <c r="N5" s="14"/>
      <c r="O5" s="13"/>
      <c r="P5" s="15"/>
      <c r="Q5" s="14" t="s">
        <v>69</v>
      </c>
      <c r="R5" s="20" t="s">
        <v>70</v>
      </c>
      <c r="S5" s="21"/>
      <c r="T5" s="14" t="s">
        <v>69</v>
      </c>
      <c r="U5" s="22" t="s">
        <v>70</v>
      </c>
      <c r="V5" s="22" t="s">
        <v>71</v>
      </c>
      <c r="W5" s="22" t="s">
        <v>72</v>
      </c>
      <c r="X5" s="15" t="s">
        <v>41</v>
      </c>
      <c r="Y5" s="23"/>
      <c r="Z5" s="24" t="s">
        <v>36</v>
      </c>
    </row>
    <row r="6" spans="1:26" ht="15.75" customHeight="1" x14ac:dyDescent="0.3">
      <c r="A6" s="15">
        <v>135747</v>
      </c>
      <c r="B6" s="13" t="s">
        <v>65</v>
      </c>
      <c r="C6" s="14" t="s">
        <v>88</v>
      </c>
      <c r="D6" s="14" t="s">
        <v>90</v>
      </c>
      <c r="E6" s="14" t="s">
        <v>37</v>
      </c>
      <c r="F6" s="14" t="s">
        <v>38</v>
      </c>
      <c r="G6" s="15">
        <v>40222</v>
      </c>
      <c r="H6" s="25">
        <v>12</v>
      </c>
      <c r="I6" s="26"/>
      <c r="J6" s="13">
        <v>1065</v>
      </c>
      <c r="K6" s="13" t="s">
        <v>40</v>
      </c>
      <c r="L6" s="13"/>
      <c r="M6" s="14" t="s">
        <v>33</v>
      </c>
      <c r="N6" s="14"/>
      <c r="O6" s="13"/>
      <c r="P6" s="15"/>
      <c r="Q6" s="14" t="s">
        <v>69</v>
      </c>
      <c r="R6" s="22" t="s">
        <v>70</v>
      </c>
      <c r="S6" s="15"/>
      <c r="T6" s="14" t="s">
        <v>96</v>
      </c>
      <c r="U6" s="22" t="s">
        <v>70</v>
      </c>
      <c r="V6" s="22"/>
      <c r="W6" s="22"/>
      <c r="X6" s="14"/>
      <c r="Y6" s="14"/>
      <c r="Z6" s="27" t="s">
        <v>36</v>
      </c>
    </row>
    <row r="7" spans="1:26" ht="15" customHeight="1" x14ac:dyDescent="0.3">
      <c r="A7" s="15">
        <v>135748</v>
      </c>
      <c r="B7" s="13" t="s">
        <v>65</v>
      </c>
      <c r="C7" s="14" t="s">
        <v>89</v>
      </c>
      <c r="D7" s="14" t="s">
        <v>90</v>
      </c>
      <c r="E7" s="14" t="s">
        <v>37</v>
      </c>
      <c r="F7" s="14" t="s">
        <v>38</v>
      </c>
      <c r="G7" s="15">
        <v>40222</v>
      </c>
      <c r="H7" s="16">
        <v>12</v>
      </c>
      <c r="I7" s="26"/>
      <c r="J7" s="18">
        <v>1065</v>
      </c>
      <c r="K7" s="13" t="s">
        <v>40</v>
      </c>
      <c r="L7" s="19"/>
      <c r="M7" s="14" t="s">
        <v>33</v>
      </c>
      <c r="N7" s="14"/>
      <c r="O7" s="13"/>
      <c r="P7" s="15"/>
      <c r="Q7" s="14" t="s">
        <v>69</v>
      </c>
      <c r="R7" s="20" t="s">
        <v>70</v>
      </c>
      <c r="S7" s="15"/>
      <c r="T7" s="14" t="s">
        <v>96</v>
      </c>
      <c r="U7" s="22" t="s">
        <v>70</v>
      </c>
      <c r="V7" s="22"/>
      <c r="W7" s="22"/>
      <c r="X7" s="15"/>
      <c r="Y7" s="14"/>
      <c r="Z7" s="24" t="s">
        <v>36</v>
      </c>
    </row>
    <row r="8" spans="1:26" ht="16.5" customHeight="1" x14ac:dyDescent="0.3">
      <c r="A8" s="15">
        <v>135546</v>
      </c>
      <c r="B8" s="13" t="s">
        <v>26</v>
      </c>
      <c r="C8" s="14" t="s">
        <v>27</v>
      </c>
      <c r="D8" s="14" t="s">
        <v>28</v>
      </c>
      <c r="E8" s="14" t="s">
        <v>29</v>
      </c>
      <c r="F8" s="14" t="s">
        <v>30</v>
      </c>
      <c r="G8" s="15">
        <v>47172</v>
      </c>
      <c r="H8" s="25">
        <v>12</v>
      </c>
      <c r="I8" s="17"/>
      <c r="J8" s="13" t="s">
        <v>31</v>
      </c>
      <c r="K8" s="13" t="s">
        <v>32</v>
      </c>
      <c r="L8" s="19"/>
      <c r="M8" s="14" t="s">
        <v>87</v>
      </c>
      <c r="N8" s="14" t="s">
        <v>42</v>
      </c>
      <c r="O8" s="13"/>
      <c r="P8" s="15"/>
      <c r="Q8" s="14" t="s">
        <v>34</v>
      </c>
      <c r="R8" s="20" t="s">
        <v>35</v>
      </c>
      <c r="S8" s="15"/>
      <c r="T8" s="14" t="s">
        <v>34</v>
      </c>
      <c r="U8" s="20" t="s">
        <v>35</v>
      </c>
      <c r="V8" s="22"/>
      <c r="W8" s="22"/>
      <c r="X8" s="15" t="s">
        <v>33</v>
      </c>
      <c r="Y8" s="23"/>
      <c r="Z8" s="24" t="s">
        <v>36</v>
      </c>
    </row>
    <row r="9" spans="1:26" ht="21.6" x14ac:dyDescent="0.3">
      <c r="A9" s="15" t="s">
        <v>91</v>
      </c>
      <c r="B9" s="13" t="s">
        <v>65</v>
      </c>
      <c r="C9" s="14" t="s">
        <v>92</v>
      </c>
      <c r="D9" s="14" t="s">
        <v>67</v>
      </c>
      <c r="E9" s="14" t="s">
        <v>37</v>
      </c>
      <c r="F9" s="14" t="s">
        <v>38</v>
      </c>
      <c r="G9" s="15">
        <v>40243</v>
      </c>
      <c r="H9" s="28">
        <v>12</v>
      </c>
      <c r="I9" s="29"/>
      <c r="J9" s="18" t="s">
        <v>31</v>
      </c>
      <c r="K9" s="13" t="s">
        <v>93</v>
      </c>
      <c r="L9" s="30"/>
      <c r="M9" s="14" t="s">
        <v>94</v>
      </c>
      <c r="N9" s="31" t="s">
        <v>42</v>
      </c>
      <c r="O9" s="32"/>
      <c r="P9" s="33"/>
      <c r="Q9" s="31" t="s">
        <v>69</v>
      </c>
      <c r="R9" s="34" t="s">
        <v>70</v>
      </c>
      <c r="S9" s="35"/>
      <c r="T9" s="31" t="s">
        <v>69</v>
      </c>
      <c r="U9" s="36" t="s">
        <v>70</v>
      </c>
      <c r="V9" s="36" t="s">
        <v>71</v>
      </c>
      <c r="W9" s="36" t="s">
        <v>72</v>
      </c>
      <c r="X9" s="33" t="s">
        <v>41</v>
      </c>
      <c r="Y9" s="37"/>
      <c r="Z9" s="38"/>
    </row>
    <row r="10" spans="1:26" ht="15.75" customHeight="1" x14ac:dyDescent="0.3">
      <c r="A10" s="15" t="s">
        <v>73</v>
      </c>
      <c r="B10" s="13" t="s">
        <v>74</v>
      </c>
      <c r="C10" s="14" t="s">
        <v>75</v>
      </c>
      <c r="D10" s="14" t="s">
        <v>76</v>
      </c>
      <c r="E10" s="14" t="s">
        <v>62</v>
      </c>
      <c r="F10" s="14" t="s">
        <v>30</v>
      </c>
      <c r="G10" s="15" t="s">
        <v>63</v>
      </c>
      <c r="H10" s="16">
        <v>12</v>
      </c>
      <c r="I10" s="17"/>
      <c r="J10" s="18" t="s">
        <v>31</v>
      </c>
      <c r="K10" s="13" t="s">
        <v>32</v>
      </c>
      <c r="L10" s="19"/>
      <c r="M10" s="14" t="s">
        <v>33</v>
      </c>
      <c r="N10" s="14"/>
      <c r="O10" s="13"/>
      <c r="P10" s="15"/>
      <c r="Q10" s="14" t="s">
        <v>77</v>
      </c>
      <c r="R10" s="20" t="s">
        <v>78</v>
      </c>
      <c r="S10" s="15"/>
      <c r="T10" s="14" t="s">
        <v>77</v>
      </c>
      <c r="U10" s="22" t="s">
        <v>78</v>
      </c>
      <c r="V10" s="22"/>
      <c r="W10" s="22"/>
      <c r="X10" s="15" t="s">
        <v>41</v>
      </c>
      <c r="Y10" s="23"/>
      <c r="Z10" s="24" t="s">
        <v>36</v>
      </c>
    </row>
    <row r="11" spans="1:26" x14ac:dyDescent="0.3">
      <c r="A11" s="39" t="s">
        <v>79</v>
      </c>
      <c r="B11" s="13" t="s">
        <v>80</v>
      </c>
      <c r="C11" s="14" t="s">
        <v>81</v>
      </c>
      <c r="D11" s="14" t="s">
        <v>82</v>
      </c>
      <c r="E11" s="14" t="s">
        <v>37</v>
      </c>
      <c r="F11" s="14" t="s">
        <v>38</v>
      </c>
      <c r="G11" s="15" t="s">
        <v>83</v>
      </c>
      <c r="H11" s="16">
        <v>12</v>
      </c>
      <c r="I11" s="17"/>
      <c r="J11" s="18" t="s">
        <v>31</v>
      </c>
      <c r="K11" s="13" t="s">
        <v>40</v>
      </c>
      <c r="L11" s="19"/>
      <c r="M11" s="14" t="s">
        <v>84</v>
      </c>
      <c r="N11" s="14" t="s">
        <v>42</v>
      </c>
      <c r="O11" s="13"/>
      <c r="P11" s="15" t="s">
        <v>39</v>
      </c>
      <c r="Q11" s="14" t="s">
        <v>86</v>
      </c>
      <c r="R11" s="20" t="s">
        <v>85</v>
      </c>
      <c r="S11" s="15"/>
      <c r="T11" s="14" t="s">
        <v>86</v>
      </c>
      <c r="U11" s="22" t="s">
        <v>85</v>
      </c>
      <c r="V11" s="22"/>
      <c r="W11" s="22"/>
      <c r="X11" s="15" t="s">
        <v>43</v>
      </c>
      <c r="Y11" s="23"/>
      <c r="Z11" s="24" t="s">
        <v>36</v>
      </c>
    </row>
    <row r="12" spans="1:26" s="49" customFormat="1" x14ac:dyDescent="0.3">
      <c r="A12" s="40">
        <v>135823</v>
      </c>
      <c r="B12" s="41" t="s">
        <v>65</v>
      </c>
      <c r="C12" s="41" t="s">
        <v>98</v>
      </c>
      <c r="D12" s="41" t="s">
        <v>99</v>
      </c>
      <c r="E12" s="41" t="s">
        <v>37</v>
      </c>
      <c r="F12" s="41" t="s">
        <v>38</v>
      </c>
      <c r="G12" s="40">
        <v>40243</v>
      </c>
      <c r="H12" s="40">
        <v>12</v>
      </c>
      <c r="I12" s="42"/>
      <c r="J12" s="41">
        <v>1065</v>
      </c>
      <c r="K12" s="43"/>
      <c r="L12" s="44"/>
      <c r="M12" s="41"/>
      <c r="N12" s="41"/>
      <c r="O12" s="43"/>
      <c r="P12" s="40"/>
      <c r="Q12" s="41" t="s">
        <v>100</v>
      </c>
      <c r="R12" s="45" t="s">
        <v>101</v>
      </c>
      <c r="S12" s="40"/>
      <c r="T12" s="41" t="s">
        <v>100</v>
      </c>
      <c r="U12" s="45" t="s">
        <v>101</v>
      </c>
      <c r="V12" s="46"/>
      <c r="W12" s="46"/>
      <c r="X12" s="40"/>
      <c r="Y12" s="47"/>
      <c r="Z12" s="48" t="s">
        <v>36</v>
      </c>
    </row>
  </sheetData>
  <sortState xmlns:xlrd2="http://schemas.microsoft.com/office/spreadsheetml/2017/richdata2" ref="A2:Z11">
    <sortCondition ref="J2:J11"/>
  </sortState>
  <conditionalFormatting sqref="L2 I2 Y8 I4:I5 I7:I12">
    <cfRule type="notContainsBlanks" dxfId="2" priority="8">
      <formula>LEN(TRIM(I2))&gt;0</formula>
    </cfRule>
  </conditionalFormatting>
  <conditionalFormatting sqref="L4">
    <cfRule type="notContainsBlanks" dxfId="1" priority="7">
      <formula>LEN(TRIM(L4))&gt;0</formula>
    </cfRule>
  </conditionalFormatting>
  <conditionalFormatting sqref="I6">
    <cfRule type="notContainsBlanks" dxfId="0" priority="1">
      <formula>LEN(TRIM(I6))&gt;0</formula>
    </cfRule>
  </conditionalFormatting>
  <dataValidations count="6">
    <dataValidation type="list" allowBlank="1" sqref="N2" xr:uid="{A59BCA82-DA7F-4461-A4D6-23931028D0F9}">
      <formula1>"GAAP,Tax,Modified Cash,Cash,Other"</formula1>
    </dataValidation>
    <dataValidation type="list" allowBlank="1" showInputMessage="1" showErrorMessage="1" sqref="X2:X12" xr:uid="{F487ECBF-32D7-4F2A-B5B1-4C24844E2510}">
      <formula1>"None,Tax,Book,Book &amp; Tax"</formula1>
    </dataValidation>
    <dataValidation type="list" allowBlank="1" showInputMessage="1" showErrorMessage="1" sqref="J2:J12" xr:uid="{99FD2AB8-61F9-4DF9-81FA-5C5A2EFEF08C}">
      <formula1>"1120,1120S,1065,1041,990,990-EZ,990-N,990-PF,KY 725"</formula1>
    </dataValidation>
    <dataValidation type="list" allowBlank="1" showInputMessage="1" showErrorMessage="1" sqref="M2:M12" xr:uid="{15CCCC36-E1C1-451C-B31E-7C47DDF81771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2:P12 S2:S12" xr:uid="{045B6CAC-A616-4C94-A7B2-9236368C1A93}">
      <formula1>"X"</formula1>
    </dataValidation>
    <dataValidation type="list" allowBlank="1" showInputMessage="1" sqref="N3:N12" xr:uid="{D0D9841F-7ADB-40CF-BA63-360D4CBC4DB6}">
      <formula1>"GAAP,Tax,Modified Cash,Cash,Other"</formula1>
    </dataValidation>
  </dataValidations>
  <hyperlinks>
    <hyperlink ref="R8" r:id="rId1" xr:uid="{235AC8EC-04F3-4741-B419-883B8F285678}"/>
    <hyperlink ref="U8" r:id="rId2" xr:uid="{ACC8DABC-EADC-4577-B578-934902744E50}"/>
    <hyperlink ref="U3" r:id="rId3" display="kmassey@jyla.com" xr:uid="{A66E1D5C-D963-40C1-86DB-118C0410473C}"/>
    <hyperlink ref="U4" r:id="rId4" display="kmassey@jyla.com" xr:uid="{0BA9AF76-86FC-43DE-99F8-ACF228517534}"/>
    <hyperlink ref="R5" r:id="rId5" xr:uid="{482A2577-9E89-481E-8860-90524060995D}"/>
    <hyperlink ref="U5" r:id="rId6" xr:uid="{7874411C-0A88-4244-9D52-325F313C53C5}"/>
    <hyperlink ref="R6" r:id="rId7" xr:uid="{0522C38A-7129-4DF2-B377-FADDFA7FABFD}"/>
    <hyperlink ref="R7" r:id="rId8" xr:uid="{4AFEA88B-745E-4DE4-9302-A5E944E996DA}"/>
    <hyperlink ref="U6" r:id="rId9" xr:uid="{BCAB44DF-02E2-4FBE-989D-2BD25E571630}"/>
    <hyperlink ref="U7" r:id="rId10" xr:uid="{5D5608A6-C57F-4FA1-8F47-0BB6AA866754}"/>
    <hyperlink ref="R9" r:id="rId11" xr:uid="{6D2532E4-B835-4455-AAAF-E692981F1245}"/>
    <hyperlink ref="U9" r:id="rId12" xr:uid="{DACD433E-8EC1-4593-9709-C2A56DC7C37B}"/>
    <hyperlink ref="R2" r:id="rId13" xr:uid="{3834B42B-7904-4DD0-BD0E-2D14E874EC6A}"/>
    <hyperlink ref="R12" r:id="rId14" xr:uid="{B04199DF-A490-44B3-AE91-FFC0D4602C25}"/>
    <hyperlink ref="U12" r:id="rId15" xr:uid="{C1CFB627-83A3-47D9-AEFC-F64E81E1FA43}"/>
  </hyperlinks>
  <pageMargins left="0.2" right="0.2" top="0.5" bottom="0.25" header="0.3" footer="0.3"/>
  <pageSetup scale="80" orientation="landscape" r:id="rId16"/>
  <legacyDrawing r:id="rId17"/>
  <tableParts count="1">
    <tablePart r:id="rId1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53F43C-1CF4-4F7C-AD57-AC25F48A5117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0A982250-68B8-45C8-A3F7-C8DEF7B282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FA9359-904C-422F-9D09-2B401B7255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Olinger, Scott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2022-01-08T15:05:54Z</cp:lastPrinted>
  <dcterms:created xsi:type="dcterms:W3CDTF">2021-12-10T21:56:04Z</dcterms:created>
  <dcterms:modified xsi:type="dcterms:W3CDTF">2023-08-22T07:13:24Z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